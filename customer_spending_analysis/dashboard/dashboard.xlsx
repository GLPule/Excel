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len\Documents\Important School work\My documents\My WORK\Data or Business Analyst\Project\customer_spending_analysis\analysis\"/>
    </mc:Choice>
  </mc:AlternateContent>
  <xr:revisionPtr revIDLastSave="0" documentId="13_ncr:1_{3330AAFA-25F6-4B40-8121-B5B25FC35E7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tail Sales" sheetId="2" r:id="rId1"/>
    <sheet name="CSA Dashboard" sheetId="3" r:id="rId2"/>
    <sheet name="Lookup" sheetId="4" state="hidden" r:id="rId3"/>
  </sheets>
  <definedNames>
    <definedName name="ExternalData_1" localSheetId="0" hidden="1">'Retail Sales'!$C$5:$I$249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5" i="4"/>
  <c r="D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33B1E-C324-415B-83BB-E57696017810}" keepAlive="1" name="Query - raw_tips" description="Connection to the 'raw_tips' query in the workbook." type="5" refreshedVersion="8" background="1" saveData="1">
    <dbPr connection="Provider=Microsoft.Mashup.OleDb.1;Data Source=$Workbook$;Location=raw_tips;Extended Properties=&quot;&quot;" command="SELECT * FROM [raw_tips]"/>
  </connection>
</connections>
</file>

<file path=xl/sharedStrings.xml><?xml version="1.0" encoding="utf-8"?>
<sst xmlns="http://schemas.openxmlformats.org/spreadsheetml/2006/main" count="998" uniqueCount="24">
  <si>
    <t>Female</t>
  </si>
  <si>
    <t>No</t>
  </si>
  <si>
    <t>Sun</t>
  </si>
  <si>
    <t>Dinner</t>
  </si>
  <si>
    <t>Male</t>
  </si>
  <si>
    <t>Sat</t>
  </si>
  <si>
    <t>Yes</t>
  </si>
  <si>
    <t>Lunch</t>
  </si>
  <si>
    <t>Fri</t>
  </si>
  <si>
    <t>Grand Total</t>
  </si>
  <si>
    <t>Total_bill</t>
  </si>
  <si>
    <t>Tip</t>
  </si>
  <si>
    <t>Sex</t>
  </si>
  <si>
    <t>Smoker</t>
  </si>
  <si>
    <t>Day</t>
  </si>
  <si>
    <t>Time</t>
  </si>
  <si>
    <t>Size</t>
  </si>
  <si>
    <t>Thu</t>
  </si>
  <si>
    <t>Sum of Total_bill</t>
  </si>
  <si>
    <t>Sum of Tip</t>
  </si>
  <si>
    <t>Total Revenue</t>
  </si>
  <si>
    <t>Average Spend</t>
  </si>
  <si>
    <t>Average of Total_bill2</t>
  </si>
  <si>
    <t>Total 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</si>
</sst>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1" fontId="0" fillId="2" borderId="0" xfId="0" applyNumberFormat="1" applyFill="1"/>
    <xf numFmtId="0" fontId="1" fillId="0" borderId="0" xfId="0" applyFont="1"/>
    <xf numFmtId="4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/>
    </xf>
    <xf numFmtId="1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0" fontId="1" fillId="0" borderId="0" xfId="0" pivotButton="1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51"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[cleaned_data.xlsx]CSA Dashboard!PivotTable4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u="none" strike="noStrike" baseline="0"/>
              <a:t>Total Spending By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'CSA Dashboard'!$D$31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'CSA Dashboard'!$C$32:$C$36</c:f>
              <c:strCache>
                <c:ptCount val="4"/>
                <c:pt idx="0">
                  <c:v>Thu</c:v>
                </c:pt>
                <c:pt idx="1">
                  <c:v>Fri</c:v>
                </c:pt>
                <c:pt idx="2">
                  <c:v>Sat</c:v>
                </c:pt>
                <c:pt idx="3">
                  <c:v>Sun</c:v>
                </c:pt>
              </c:strCache>
            </c:strRef>
          </c:cat>
          <c:val>
            <c:numRef>
              <c:f>'CSA Dashboard'!$D$32:$D$36</c:f>
              <c:numCache>
                <c:formatCode>#,##0.00</c:formatCode>
                <c:ptCount val="4"/>
                <c:pt idx="0">
                  <c:v>1096.3299999999997</c:v>
                </c:pt>
                <c:pt idx="1">
                  <c:v>325.87999999999994</c:v>
                </c:pt>
                <c:pt idx="2">
                  <c:v>1778.3999999999996</c:v>
                </c:pt>
                <c:pt idx="3">
                  <c:v>1627.1600000000003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F-4488-BE4F-58C6E64F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7118975"/>
        <c:axId val="577104575"/>
      </c:barChart>
      <c:valAx>
        <c:axId val="577104575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18975"/>
        <c:crosses val="autoZero"/>
        <c:crossBetween val="between"/>
      </c:valAx>
      <c:catAx>
        <c:axId val="5771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045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[cleaned_data.xlsx]CSA Dashboard!PivotTable5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u="none" strike="noStrike" baseline="0"/>
              <a:t>Spending &amp; Average Transaction Value by Group Size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'CSA Dashboard'!$H$31</c:f>
              <c:strCache>
                <c:ptCount val="1"/>
                <c:pt idx="0">
                  <c:v>Sum of Total_bill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'CSA Dashboard'!$G$32:$G$38</c:f>
              <c:strCache>
                <c:ptCount val="6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</c:strCache>
            </c:strRef>
          </c:cat>
          <c:val>
            <c:numRef>
              <c:f>'CSA Dashboard'!$H$32:$H$38</c:f>
              <c:numCache>
                <c:formatCode>#,##0.00</c:formatCode>
                <c:ptCount val="6"/>
                <c:pt idx="0">
                  <c:v>28.97</c:v>
                </c:pt>
                <c:pt idx="1">
                  <c:v>139.32</c:v>
                </c:pt>
                <c:pt idx="2">
                  <c:v>150.34</c:v>
                </c:pt>
                <c:pt idx="3">
                  <c:v>884.55000000000007</c:v>
                </c:pt>
                <c:pt idx="4">
                  <c:v>1058.6999999999998</c:v>
                </c:pt>
                <c:pt idx="5">
                  <c:v>2565.8900000000017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8-413E-B47D-96BC6EC0E1DE}"/>
            </c:ext>
          </c:extLst>
        </c:ser>
        <c:ser>
          <c:idx val="1"/>
          <c:order val="1"/>
          <c:tx>
            <c:strRef>
              <c:f>'CSA Dashboard'!$I$31</c:f>
              <c:strCache>
                <c:ptCount val="1"/>
                <c:pt idx="0">
                  <c:v>Sum of Tip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'CSA Dashboard'!$G$32:$G$38</c:f>
              <c:strCache>
                <c:ptCount val="6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</c:strCache>
            </c:strRef>
          </c:cat>
          <c:val>
            <c:numRef>
              <c:f>'CSA Dashboard'!$I$32:$I$38</c:f>
              <c:numCache>
                <c:formatCode>#,##0.00</c:formatCode>
                <c:ptCount val="6"/>
                <c:pt idx="0">
                  <c:v>5.75</c:v>
                </c:pt>
                <c:pt idx="1">
                  <c:v>20.9</c:v>
                </c:pt>
                <c:pt idx="2">
                  <c:v>20.14</c:v>
                </c:pt>
                <c:pt idx="3">
                  <c:v>128.94</c:v>
                </c:pt>
                <c:pt idx="4">
                  <c:v>153.01000000000005</c:v>
                </c:pt>
                <c:pt idx="5">
                  <c:v>402.84000000000015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8-413E-B47D-96BC6EC0E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0254399"/>
        <c:axId val="1320274559"/>
      </c:barChart>
      <c:lineChart>
        <c:grouping val="standard"/>
        <c:varyColors val="0"/>
        <c:ser>
          <c:idx val="2"/>
          <c:order val="2"/>
          <c:tx>
            <c:strRef>
              <c:f>'CSA Dashboard'!$J$31</c:f>
              <c:strCache>
                <c:ptCount val="1"/>
                <c:pt idx="0">
                  <c:v>Average of Total_bill2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'CSA Dashboard'!$G$32:$G$38</c:f>
              <c:strCache>
                <c:ptCount val="6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</c:strCache>
            </c:strRef>
          </c:cat>
          <c:val>
            <c:numRef>
              <c:f>'CSA Dashboard'!$J$32:$J$38</c:f>
              <c:numCache>
                <c:formatCode>#,##0.00</c:formatCode>
                <c:ptCount val="6"/>
                <c:pt idx="0">
                  <c:v>7.2424999999999997</c:v>
                </c:pt>
                <c:pt idx="1">
                  <c:v>34.83</c:v>
                </c:pt>
                <c:pt idx="2">
                  <c:v>30.068000000000001</c:v>
                </c:pt>
                <c:pt idx="3">
                  <c:v>23.277631578947371</c:v>
                </c:pt>
                <c:pt idx="4">
                  <c:v>28.61351351351351</c:v>
                </c:pt>
                <c:pt idx="5">
                  <c:v>16.448012820512833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9F-4432-98C2-11CD40BBE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32911"/>
        <c:axId val="140225231"/>
      </c:lineChart>
      <c:catAx>
        <c:axId val="13202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74559"/>
        <c:crosses val="autoZero"/>
        <c:auto val="1"/>
        <c:lblAlgn val="ctr"/>
        <c:lblOffset val="100"/>
        <c:noMultiLvlLbl val="0"/>
      </c:catAx>
      <c:valAx>
        <c:axId val="132027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54399"/>
        <c:crosses val="autoZero"/>
        <c:crossBetween val="between"/>
      </c:valAx>
      <c:valAx>
        <c:axId val="140225231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2911"/>
        <c:crosses val="max"/>
        <c:crossBetween val="between"/>
      </c:valAx>
      <c:catAx>
        <c:axId val="140232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2252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123825</xdr:rowOff>
    </xdr:from>
    <xdr:ext cx="2076450" cy="4095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C29854-95F2-401B-E9B9-9005D9DBB26A}"/>
            </a:ext>
          </a:extLst>
        </xdr:cNvPr>
        <xdr:cNvSpPr txBox="1"/>
      </xdr:nvSpPr>
      <xdr:spPr>
        <a:xfrm>
          <a:off x="295275" y="123825"/>
          <a:ext cx="2076450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2600" b="1">
              <a:solidFill>
                <a:schemeClr val="bg1"/>
              </a:solidFill>
            </a:rPr>
            <a:t>Retail Sales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123825</xdr:rowOff>
    </xdr:from>
    <xdr:ext cx="6038850" cy="4095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3E42CA-53C6-42FF-A123-DD96E8844643}"/>
            </a:ext>
          </a:extLst>
        </xdr:cNvPr>
        <xdr:cNvSpPr txBox="1"/>
      </xdr:nvSpPr>
      <xdr:spPr>
        <a:xfrm>
          <a:off x="295275" y="123825"/>
          <a:ext cx="6038850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2600" b="1">
              <a:solidFill>
                <a:schemeClr val="bg1"/>
              </a:solidFill>
            </a:rPr>
            <a:t>Customer Spending</a:t>
          </a:r>
          <a:r>
            <a:rPr lang="en-ZA" sz="2600" b="1" baseline="0">
              <a:solidFill>
                <a:schemeClr val="bg1"/>
              </a:solidFill>
            </a:rPr>
            <a:t> Analysis Dashboard</a:t>
          </a:r>
          <a:endParaRPr lang="en-ZA" sz="2600" b="1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146790</xdr:colOff>
      <xdr:row>28</xdr:row>
      <xdr:rowOff>28574</xdr:rowOff>
    </xdr:from>
    <xdr:to>
      <xdr:col>3</xdr:col>
      <xdr:colOff>1023743</xdr:colOff>
      <xdr:row>29</xdr:row>
      <xdr:rowOff>152399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B077B5-92CE-E723-CFA8-A12B2D9C9490}"/>
            </a:ext>
          </a:extLst>
        </xdr:cNvPr>
        <xdr:cNvSpPr txBox="1"/>
      </xdr:nvSpPr>
      <xdr:spPr>
        <a:xfrm>
          <a:off x="538228" y="5652238"/>
          <a:ext cx="1842501" cy="319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400" b="1"/>
            <a:t>Total Spending By Day</a:t>
          </a:r>
        </a:p>
      </xdr:txBody>
    </xdr:sp>
    <xdr:clientData/>
  </xdr:twoCellAnchor>
  <xdr:twoCellAnchor>
    <xdr:from>
      <xdr:col>4</xdr:col>
      <xdr:colOff>285750</xdr:colOff>
      <xdr:row>28</xdr:row>
      <xdr:rowOff>9524</xdr:rowOff>
    </xdr:from>
    <xdr:to>
      <xdr:col>10</xdr:col>
      <xdr:colOff>409575</xdr:colOff>
      <xdr:row>29</xdr:row>
      <xdr:rowOff>133349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812774-D795-4F18-95D1-5C3CF4BAADAD}"/>
            </a:ext>
          </a:extLst>
        </xdr:cNvPr>
        <xdr:cNvSpPr txBox="1"/>
      </xdr:nvSpPr>
      <xdr:spPr>
        <a:xfrm>
          <a:off x="2409825" y="5114924"/>
          <a:ext cx="2981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ZA" sz="1400" b="1"/>
        </a:p>
      </xdr:txBody>
    </xdr:sp>
    <xdr:clientData/>
  </xdr:twoCellAnchor>
  <xdr:twoCellAnchor>
    <xdr:from>
      <xdr:col>6</xdr:col>
      <xdr:colOff>214115</xdr:colOff>
      <xdr:row>28</xdr:row>
      <xdr:rowOff>28574</xdr:rowOff>
    </xdr:from>
    <xdr:to>
      <xdr:col>10</xdr:col>
      <xdr:colOff>25182</xdr:colOff>
      <xdr:row>29</xdr:row>
      <xdr:rowOff>152399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0C25E1C-C5AD-4E7A-8039-8F5F47778328}"/>
            </a:ext>
          </a:extLst>
        </xdr:cNvPr>
        <xdr:cNvSpPr txBox="1"/>
      </xdr:nvSpPr>
      <xdr:spPr>
        <a:xfrm>
          <a:off x="3345622" y="5652238"/>
          <a:ext cx="4521375" cy="319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="1"/>
            <a:t>Spending &amp; Average Transaction Value by Group Size</a:t>
          </a:r>
        </a:p>
      </xdr:txBody>
    </xdr:sp>
    <xdr:clientData/>
  </xdr:twoCellAnchor>
  <xdr:twoCellAnchor editAs="oneCell">
    <xdr:from>
      <xdr:col>1</xdr:col>
      <xdr:colOff>200025</xdr:colOff>
      <xdr:row>12</xdr:row>
      <xdr:rowOff>19050</xdr:rowOff>
    </xdr:from>
    <xdr:to>
      <xdr:col>7</xdr:col>
      <xdr:colOff>430582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58BAB-56FA-0194-6475-CA93435F4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76200</xdr:colOff>
      <xdr:row>12</xdr:row>
      <xdr:rowOff>19050</xdr:rowOff>
    </xdr:from>
    <xdr:to>
      <xdr:col>13</xdr:col>
      <xdr:colOff>1343024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1F7F1-A002-6151-3984-45C23F8BC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</xdr:colOff>
      <xdr:row>5</xdr:row>
      <xdr:rowOff>19050</xdr:rowOff>
    </xdr:from>
    <xdr:to>
      <xdr:col>3</xdr:col>
      <xdr:colOff>601218</xdr:colOff>
      <xdr:row>9</xdr:row>
      <xdr:rowOff>80010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6C07B1D0-9D85-782C-59CA-3FD66A66595E}"/>
            </a:ext>
          </a:extLst>
        </xdr:cNvPr>
        <xdr:cNvGrpSpPr/>
      </xdr:nvGrpSpPr>
      <xdr:grpSpPr>
        <a:xfrm>
          <a:off x="434578" y="1120378"/>
          <a:ext cx="1516015" cy="815023"/>
          <a:chOff x="439063" y="1141173"/>
          <a:chExt cx="1519141" cy="843837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7AAFB813-988A-CBA4-E67D-4BDF2BC100D1}"/>
              </a:ext>
            </a:extLst>
          </xdr:cNvPr>
          <xdr:cNvSpPr/>
        </xdr:nvSpPr>
        <xdr:spPr>
          <a:xfrm>
            <a:off x="439063" y="1141173"/>
            <a:ext cx="1461736" cy="843837"/>
          </a:xfrm>
          <a:prstGeom prst="roundRect">
            <a:avLst>
              <a:gd name="adj" fmla="val 6379"/>
            </a:avLst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/>
              <a:t>    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730A1EF-7A21-C97B-B451-0EA5A9AC7B55}"/>
              </a:ext>
            </a:extLst>
          </xdr:cNvPr>
          <xdr:cNvSpPr txBox="1"/>
        </xdr:nvSpPr>
        <xdr:spPr>
          <a:xfrm>
            <a:off x="534228" y="1238841"/>
            <a:ext cx="1114574" cy="3094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sz="1100" b="1">
                <a:latin typeface="Calibri" panose="020F0502020204030204" pitchFamily="34" charset="0"/>
                <a:cs typeface="Calibri" panose="020F0502020204030204" pitchFamily="34" charset="0"/>
              </a:rPr>
              <a:t>Total Revenue</a:t>
            </a:r>
          </a:p>
        </xdr:txBody>
      </xdr:sp>
      <xdr:sp macro="" textlink="Lookup!D4">
        <xdr:nvSpPr>
          <xdr:cNvPr id="20" name="TextBox 19">
            <a:extLst>
              <a:ext uri="{FF2B5EF4-FFF2-40B4-BE49-F238E27FC236}">
                <a16:creationId xmlns:a16="http://schemas.microsoft.com/office/drawing/2014/main" id="{5EF99839-EFB5-4E5D-8C66-4F922F8E2A80}"/>
              </a:ext>
            </a:extLst>
          </xdr:cNvPr>
          <xdr:cNvSpPr txBox="1"/>
        </xdr:nvSpPr>
        <xdr:spPr>
          <a:xfrm>
            <a:off x="543838" y="1523087"/>
            <a:ext cx="1414366" cy="3069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5919E68-C861-46EE-8265-56E93095608F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4 827.77</a:t>
            </a:fld>
            <a:endParaRPr lang="en-ZA" sz="1100" b="1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3</xdr:col>
      <xdr:colOff>979379</xdr:colOff>
      <xdr:row>5</xdr:row>
      <xdr:rowOff>28575</xdr:rowOff>
    </xdr:from>
    <xdr:to>
      <xdr:col>7</xdr:col>
      <xdr:colOff>238125</xdr:colOff>
      <xdr:row>9</xdr:row>
      <xdr:rowOff>89535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3ED0ADBD-EB3E-235A-E7D5-EB0261081B81}"/>
            </a:ext>
          </a:extLst>
        </xdr:cNvPr>
        <xdr:cNvGrpSpPr/>
      </xdr:nvGrpSpPr>
      <xdr:grpSpPr>
        <a:xfrm>
          <a:off x="2328754" y="1129903"/>
          <a:ext cx="1997184" cy="815023"/>
          <a:chOff x="2336365" y="1150698"/>
          <a:chExt cx="1856389" cy="843837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00B6217F-51E3-1B27-BF4F-9D83A01865FD}"/>
              </a:ext>
            </a:extLst>
          </xdr:cNvPr>
          <xdr:cNvSpPr/>
        </xdr:nvSpPr>
        <xdr:spPr>
          <a:xfrm>
            <a:off x="2336365" y="1150698"/>
            <a:ext cx="1806828" cy="843837"/>
          </a:xfrm>
          <a:prstGeom prst="roundRect">
            <a:avLst>
              <a:gd name="adj" fmla="val 6379"/>
            </a:avLst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/>
              <a:t>    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67D4960-21B9-589A-1F2E-E321143E035C}"/>
              </a:ext>
            </a:extLst>
          </xdr:cNvPr>
          <xdr:cNvSpPr txBox="1"/>
        </xdr:nvSpPr>
        <xdr:spPr>
          <a:xfrm>
            <a:off x="2432040" y="1248366"/>
            <a:ext cx="1760714" cy="3094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b="1"/>
              <a:t>Average Transaction Value</a:t>
            </a:r>
            <a:endParaRPr lang="en-ZA" sz="1100" b="1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Lookup!D5">
        <xdr:nvSpPr>
          <xdr:cNvPr id="21" name="TextBox 20">
            <a:extLst>
              <a:ext uri="{FF2B5EF4-FFF2-40B4-BE49-F238E27FC236}">
                <a16:creationId xmlns:a16="http://schemas.microsoft.com/office/drawing/2014/main" id="{63EA48DB-8AF0-41AD-B607-82F925EE89BB}"/>
              </a:ext>
            </a:extLst>
          </xdr:cNvPr>
          <xdr:cNvSpPr txBox="1"/>
        </xdr:nvSpPr>
        <xdr:spPr>
          <a:xfrm>
            <a:off x="2448186" y="1510039"/>
            <a:ext cx="1108261" cy="3069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0617DB9-5F77-4D28-9247-E84938ABA756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19.79</a:t>
            </a:fld>
            <a:endParaRPr lang="en-ZA" sz="1100" b="1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7</xdr:col>
      <xdr:colOff>459997</xdr:colOff>
      <xdr:row>5</xdr:row>
      <xdr:rowOff>9525</xdr:rowOff>
    </xdr:from>
    <xdr:to>
      <xdr:col>8</xdr:col>
      <xdr:colOff>618113</xdr:colOff>
      <xdr:row>9</xdr:row>
      <xdr:rowOff>70485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7867E24-B858-43B2-3AF3-D85B6BE43345}"/>
            </a:ext>
          </a:extLst>
        </xdr:cNvPr>
        <xdr:cNvGrpSpPr/>
      </xdr:nvGrpSpPr>
      <xdr:grpSpPr>
        <a:xfrm>
          <a:off x="4547810" y="1110853"/>
          <a:ext cx="1467803" cy="815023"/>
          <a:chOff x="4209789" y="1131648"/>
          <a:chExt cx="1462910" cy="843837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B36D955D-9056-718B-73FB-8351E6F39394}"/>
              </a:ext>
            </a:extLst>
          </xdr:cNvPr>
          <xdr:cNvSpPr/>
        </xdr:nvSpPr>
        <xdr:spPr>
          <a:xfrm>
            <a:off x="4209789" y="1131648"/>
            <a:ext cx="1462910" cy="843837"/>
          </a:xfrm>
          <a:prstGeom prst="roundRect">
            <a:avLst>
              <a:gd name="adj" fmla="val 6379"/>
            </a:avLst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/>
              <a:t>    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6E64CEAE-8193-C6FF-94F9-E6E756AA16BE}"/>
              </a:ext>
            </a:extLst>
          </xdr:cNvPr>
          <xdr:cNvSpPr txBox="1"/>
        </xdr:nvSpPr>
        <xdr:spPr>
          <a:xfrm>
            <a:off x="4305031" y="1229316"/>
            <a:ext cx="1115469" cy="3094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sz="1100" b="1">
                <a:latin typeface="Calibri" panose="020F0502020204030204" pitchFamily="34" charset="0"/>
                <a:cs typeface="Calibri" panose="020F0502020204030204" pitchFamily="34" charset="0"/>
              </a:rPr>
              <a:t>Total Tips</a:t>
            </a:r>
          </a:p>
        </xdr:txBody>
      </xdr:sp>
      <xdr:sp macro="" textlink="Lookup!D6">
        <xdr:nvSpPr>
          <xdr:cNvPr id="25" name="TextBox 24">
            <a:extLst>
              <a:ext uri="{FF2B5EF4-FFF2-40B4-BE49-F238E27FC236}">
                <a16:creationId xmlns:a16="http://schemas.microsoft.com/office/drawing/2014/main" id="{E4EF98F7-61B7-4352-B53F-DB204A0C6ECD}"/>
              </a:ext>
            </a:extLst>
          </xdr:cNvPr>
          <xdr:cNvSpPr txBox="1"/>
        </xdr:nvSpPr>
        <xdr:spPr>
          <a:xfrm>
            <a:off x="4324090" y="1472721"/>
            <a:ext cx="1115437" cy="3121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AB14B2F-3F28-493E-BDF3-61D98A8F58BD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731.58</a:t>
            </a:fld>
            <a:endParaRPr lang="en-ZA" sz="1100" b="1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en" refreshedDate="46169.729407407409" createdVersion="8" refreshedVersion="8" minRefreshableVersion="3" recordCount="244" xr:uid="{A5389879-7859-4D33-9FD1-825AED3AD27B}">
  <cacheSource type="worksheet">
    <worksheetSource name="raw_tips"/>
  </cacheSource>
  <cacheFields count="8">
    <cacheField name="Day" numFmtId="0">
      <sharedItems count="4">
        <s v="Sun"/>
        <s v="Sat"/>
        <s v="Thu"/>
        <s v="Fri"/>
      </sharedItems>
    </cacheField>
    <cacheField name="Sex" numFmtId="0">
      <sharedItems/>
    </cacheField>
    <cacheField name="Smoker" numFmtId="0">
      <sharedItems count="2">
        <s v="No"/>
        <s v="Yes"/>
      </sharedItems>
    </cacheField>
    <cacheField name="Time" numFmtId="0">
      <sharedItems/>
    </cacheField>
    <cacheField name="Size" numFmtId="1">
      <sharedItems containsSemiMixedTypes="0" containsString="0" containsNumber="1" containsInteger="1" minValue="1" maxValue="6" count="6">
        <n v="2"/>
        <n v="3"/>
        <n v="4"/>
        <n v="1"/>
        <n v="6"/>
        <n v="5"/>
      </sharedItems>
    </cacheField>
    <cacheField name="Total_bill" numFmtId="4">
      <sharedItems containsSemiMixedTypes="0" containsString="0" containsNumber="1" minValue="3.07" maxValue="50.81"/>
    </cacheField>
    <cacheField name="Tip" numFmtId="4">
      <sharedItems containsSemiMixedTypes="0" containsString="0" containsNumber="1" minValue="1" maxValue="10"/>
    </cacheField>
    <cacheField name="Average of Total_bill" numFmtId="0" formula="Total_bil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s v="Female"/>
    <x v="0"/>
    <s v="Dinner"/>
    <x v="0"/>
    <n v="16.989999999999998"/>
    <n v="1.01"/>
  </r>
  <r>
    <x v="0"/>
    <s v="Male"/>
    <x v="0"/>
    <s v="Dinner"/>
    <x v="1"/>
    <n v="10.34"/>
    <n v="1.66"/>
  </r>
  <r>
    <x v="0"/>
    <s v="Male"/>
    <x v="0"/>
    <s v="Dinner"/>
    <x v="1"/>
    <n v="21.01"/>
    <n v="3.5"/>
  </r>
  <r>
    <x v="0"/>
    <s v="Male"/>
    <x v="0"/>
    <s v="Dinner"/>
    <x v="0"/>
    <n v="23.68"/>
    <n v="3.31"/>
  </r>
  <r>
    <x v="0"/>
    <s v="Female"/>
    <x v="0"/>
    <s v="Dinner"/>
    <x v="2"/>
    <n v="24.59"/>
    <n v="3.61"/>
  </r>
  <r>
    <x v="0"/>
    <s v="Male"/>
    <x v="0"/>
    <s v="Dinner"/>
    <x v="2"/>
    <n v="25.29"/>
    <n v="4.71"/>
  </r>
  <r>
    <x v="0"/>
    <s v="Male"/>
    <x v="0"/>
    <s v="Dinner"/>
    <x v="0"/>
    <n v="8.77"/>
    <n v="2"/>
  </r>
  <r>
    <x v="0"/>
    <s v="Male"/>
    <x v="0"/>
    <s v="Dinner"/>
    <x v="2"/>
    <n v="26.88"/>
    <n v="3.12"/>
  </r>
  <r>
    <x v="0"/>
    <s v="Male"/>
    <x v="0"/>
    <s v="Dinner"/>
    <x v="0"/>
    <n v="15.04"/>
    <n v="1.96"/>
  </r>
  <r>
    <x v="0"/>
    <s v="Male"/>
    <x v="0"/>
    <s v="Dinner"/>
    <x v="0"/>
    <n v="14.78"/>
    <n v="3.23"/>
  </r>
  <r>
    <x v="0"/>
    <s v="Male"/>
    <x v="0"/>
    <s v="Dinner"/>
    <x v="0"/>
    <n v="10.27"/>
    <n v="1.71"/>
  </r>
  <r>
    <x v="0"/>
    <s v="Female"/>
    <x v="0"/>
    <s v="Dinner"/>
    <x v="2"/>
    <n v="35.26"/>
    <n v="5"/>
  </r>
  <r>
    <x v="0"/>
    <s v="Male"/>
    <x v="0"/>
    <s v="Dinner"/>
    <x v="0"/>
    <n v="15.42"/>
    <n v="1.57"/>
  </r>
  <r>
    <x v="0"/>
    <s v="Male"/>
    <x v="0"/>
    <s v="Dinner"/>
    <x v="2"/>
    <n v="18.43"/>
    <n v="3"/>
  </r>
  <r>
    <x v="0"/>
    <s v="Female"/>
    <x v="0"/>
    <s v="Dinner"/>
    <x v="0"/>
    <n v="14.83"/>
    <n v="3.02"/>
  </r>
  <r>
    <x v="0"/>
    <s v="Male"/>
    <x v="0"/>
    <s v="Dinner"/>
    <x v="0"/>
    <n v="21.58"/>
    <n v="3.92"/>
  </r>
  <r>
    <x v="0"/>
    <s v="Female"/>
    <x v="0"/>
    <s v="Dinner"/>
    <x v="1"/>
    <n v="10.33"/>
    <n v="1.67"/>
  </r>
  <r>
    <x v="0"/>
    <s v="Male"/>
    <x v="0"/>
    <s v="Dinner"/>
    <x v="1"/>
    <n v="16.29"/>
    <n v="3.71"/>
  </r>
  <r>
    <x v="0"/>
    <s v="Female"/>
    <x v="0"/>
    <s v="Dinner"/>
    <x v="1"/>
    <n v="16.97"/>
    <n v="3.5"/>
  </r>
  <r>
    <x v="1"/>
    <s v="Male"/>
    <x v="0"/>
    <s v="Dinner"/>
    <x v="1"/>
    <n v="20.65"/>
    <n v="3.35"/>
  </r>
  <r>
    <x v="1"/>
    <s v="Male"/>
    <x v="0"/>
    <s v="Dinner"/>
    <x v="0"/>
    <n v="17.920000000000002"/>
    <n v="4.08"/>
  </r>
  <r>
    <x v="1"/>
    <s v="Female"/>
    <x v="0"/>
    <s v="Dinner"/>
    <x v="0"/>
    <n v="20.29"/>
    <n v="2.75"/>
  </r>
  <r>
    <x v="1"/>
    <s v="Female"/>
    <x v="0"/>
    <s v="Dinner"/>
    <x v="0"/>
    <n v="15.77"/>
    <n v="2.23"/>
  </r>
  <r>
    <x v="1"/>
    <s v="Male"/>
    <x v="0"/>
    <s v="Dinner"/>
    <x v="2"/>
    <n v="39.42"/>
    <n v="7.58"/>
  </r>
  <r>
    <x v="1"/>
    <s v="Male"/>
    <x v="0"/>
    <s v="Dinner"/>
    <x v="0"/>
    <n v="19.82"/>
    <n v="3.18"/>
  </r>
  <r>
    <x v="1"/>
    <s v="Male"/>
    <x v="0"/>
    <s v="Dinner"/>
    <x v="2"/>
    <n v="17.809999999999999"/>
    <n v="2.34"/>
  </r>
  <r>
    <x v="1"/>
    <s v="Male"/>
    <x v="0"/>
    <s v="Dinner"/>
    <x v="0"/>
    <n v="13.37"/>
    <n v="2"/>
  </r>
  <r>
    <x v="1"/>
    <s v="Male"/>
    <x v="0"/>
    <s v="Dinner"/>
    <x v="0"/>
    <n v="12.69"/>
    <n v="2"/>
  </r>
  <r>
    <x v="1"/>
    <s v="Male"/>
    <x v="0"/>
    <s v="Dinner"/>
    <x v="0"/>
    <n v="21.7"/>
    <n v="4.3"/>
  </r>
  <r>
    <x v="1"/>
    <s v="Female"/>
    <x v="0"/>
    <s v="Dinner"/>
    <x v="0"/>
    <n v="19.649999999999999"/>
    <n v="3"/>
  </r>
  <r>
    <x v="1"/>
    <s v="Male"/>
    <x v="0"/>
    <s v="Dinner"/>
    <x v="0"/>
    <n v="9.5500000000000007"/>
    <n v="1.45"/>
  </r>
  <r>
    <x v="1"/>
    <s v="Male"/>
    <x v="0"/>
    <s v="Dinner"/>
    <x v="2"/>
    <n v="18.350000000000001"/>
    <n v="2.5"/>
  </r>
  <r>
    <x v="1"/>
    <s v="Female"/>
    <x v="0"/>
    <s v="Dinner"/>
    <x v="0"/>
    <n v="15.06"/>
    <n v="3"/>
  </r>
  <r>
    <x v="1"/>
    <s v="Female"/>
    <x v="0"/>
    <s v="Dinner"/>
    <x v="2"/>
    <n v="20.69"/>
    <n v="2.4500000000000002"/>
  </r>
  <r>
    <x v="1"/>
    <s v="Male"/>
    <x v="0"/>
    <s v="Dinner"/>
    <x v="0"/>
    <n v="17.78"/>
    <n v="3.27"/>
  </r>
  <r>
    <x v="1"/>
    <s v="Male"/>
    <x v="0"/>
    <s v="Dinner"/>
    <x v="1"/>
    <n v="24.06"/>
    <n v="3.6"/>
  </r>
  <r>
    <x v="1"/>
    <s v="Male"/>
    <x v="0"/>
    <s v="Dinner"/>
    <x v="1"/>
    <n v="16.309999999999999"/>
    <n v="2"/>
  </r>
  <r>
    <x v="1"/>
    <s v="Female"/>
    <x v="0"/>
    <s v="Dinner"/>
    <x v="1"/>
    <n v="16.93"/>
    <n v="3.07"/>
  </r>
  <r>
    <x v="1"/>
    <s v="Male"/>
    <x v="0"/>
    <s v="Dinner"/>
    <x v="1"/>
    <n v="18.690000000000001"/>
    <n v="2.31"/>
  </r>
  <r>
    <x v="1"/>
    <s v="Male"/>
    <x v="0"/>
    <s v="Dinner"/>
    <x v="1"/>
    <n v="31.27"/>
    <n v="5"/>
  </r>
  <r>
    <x v="1"/>
    <s v="Male"/>
    <x v="0"/>
    <s v="Dinner"/>
    <x v="1"/>
    <n v="16.04"/>
    <n v="2.2400000000000002"/>
  </r>
  <r>
    <x v="0"/>
    <s v="Male"/>
    <x v="0"/>
    <s v="Dinner"/>
    <x v="0"/>
    <n v="17.46"/>
    <n v="2.54"/>
  </r>
  <r>
    <x v="0"/>
    <s v="Male"/>
    <x v="0"/>
    <s v="Dinner"/>
    <x v="0"/>
    <n v="13.94"/>
    <n v="3.06"/>
  </r>
  <r>
    <x v="0"/>
    <s v="Male"/>
    <x v="0"/>
    <s v="Dinner"/>
    <x v="0"/>
    <n v="9.68"/>
    <n v="1.32"/>
  </r>
  <r>
    <x v="0"/>
    <s v="Male"/>
    <x v="0"/>
    <s v="Dinner"/>
    <x v="2"/>
    <n v="30.4"/>
    <n v="5.6"/>
  </r>
  <r>
    <x v="0"/>
    <s v="Male"/>
    <x v="0"/>
    <s v="Dinner"/>
    <x v="0"/>
    <n v="18.29"/>
    <n v="3"/>
  </r>
  <r>
    <x v="0"/>
    <s v="Male"/>
    <x v="0"/>
    <s v="Dinner"/>
    <x v="0"/>
    <n v="22.23"/>
    <n v="5"/>
  </r>
  <r>
    <x v="0"/>
    <s v="Male"/>
    <x v="0"/>
    <s v="Dinner"/>
    <x v="2"/>
    <n v="32.4"/>
    <n v="6"/>
  </r>
  <r>
    <x v="0"/>
    <s v="Male"/>
    <x v="0"/>
    <s v="Dinner"/>
    <x v="1"/>
    <n v="28.55"/>
    <n v="2.0499999999999998"/>
  </r>
  <r>
    <x v="0"/>
    <s v="Male"/>
    <x v="0"/>
    <s v="Dinner"/>
    <x v="0"/>
    <n v="18.04"/>
    <n v="3"/>
  </r>
  <r>
    <x v="0"/>
    <s v="Male"/>
    <x v="0"/>
    <s v="Dinner"/>
    <x v="0"/>
    <n v="12.54"/>
    <n v="2.5"/>
  </r>
  <r>
    <x v="0"/>
    <s v="Female"/>
    <x v="0"/>
    <s v="Dinner"/>
    <x v="0"/>
    <n v="10.29"/>
    <n v="2.6"/>
  </r>
  <r>
    <x v="0"/>
    <s v="Female"/>
    <x v="0"/>
    <s v="Dinner"/>
    <x v="2"/>
    <n v="34.81"/>
    <n v="5.2"/>
  </r>
  <r>
    <x v="0"/>
    <s v="Male"/>
    <x v="0"/>
    <s v="Dinner"/>
    <x v="0"/>
    <n v="9.94"/>
    <n v="1.56"/>
  </r>
  <r>
    <x v="0"/>
    <s v="Male"/>
    <x v="0"/>
    <s v="Dinner"/>
    <x v="2"/>
    <n v="25.56"/>
    <n v="4.34"/>
  </r>
  <r>
    <x v="0"/>
    <s v="Male"/>
    <x v="0"/>
    <s v="Dinner"/>
    <x v="0"/>
    <n v="19.489999999999998"/>
    <n v="3.51"/>
  </r>
  <r>
    <x v="1"/>
    <s v="Male"/>
    <x v="1"/>
    <s v="Dinner"/>
    <x v="2"/>
    <n v="38.01"/>
    <n v="3"/>
  </r>
  <r>
    <x v="1"/>
    <s v="Female"/>
    <x v="0"/>
    <s v="Dinner"/>
    <x v="0"/>
    <n v="26.41"/>
    <n v="1.5"/>
  </r>
  <r>
    <x v="1"/>
    <s v="Male"/>
    <x v="1"/>
    <s v="Dinner"/>
    <x v="0"/>
    <n v="11.24"/>
    <n v="1.76"/>
  </r>
  <r>
    <x v="1"/>
    <s v="Male"/>
    <x v="0"/>
    <s v="Dinner"/>
    <x v="2"/>
    <n v="48.27"/>
    <n v="6.73"/>
  </r>
  <r>
    <x v="1"/>
    <s v="Male"/>
    <x v="1"/>
    <s v="Dinner"/>
    <x v="0"/>
    <n v="20.29"/>
    <n v="3.21"/>
  </r>
  <r>
    <x v="1"/>
    <s v="Male"/>
    <x v="1"/>
    <s v="Dinner"/>
    <x v="0"/>
    <n v="13.81"/>
    <n v="2"/>
  </r>
  <r>
    <x v="1"/>
    <s v="Male"/>
    <x v="1"/>
    <s v="Dinner"/>
    <x v="0"/>
    <n v="11.02"/>
    <n v="1.98"/>
  </r>
  <r>
    <x v="1"/>
    <s v="Male"/>
    <x v="1"/>
    <s v="Dinner"/>
    <x v="2"/>
    <n v="18.29"/>
    <n v="3.76"/>
  </r>
  <r>
    <x v="1"/>
    <s v="Male"/>
    <x v="0"/>
    <s v="Dinner"/>
    <x v="1"/>
    <n v="17.59"/>
    <n v="2.64"/>
  </r>
  <r>
    <x v="1"/>
    <s v="Male"/>
    <x v="0"/>
    <s v="Dinner"/>
    <x v="1"/>
    <n v="20.079999999999998"/>
    <n v="3.15"/>
  </r>
  <r>
    <x v="1"/>
    <s v="Female"/>
    <x v="0"/>
    <s v="Dinner"/>
    <x v="0"/>
    <n v="16.45"/>
    <n v="2.4700000000000002"/>
  </r>
  <r>
    <x v="1"/>
    <s v="Female"/>
    <x v="1"/>
    <s v="Dinner"/>
    <x v="3"/>
    <n v="3.07"/>
    <n v="1"/>
  </r>
  <r>
    <x v="1"/>
    <s v="Male"/>
    <x v="0"/>
    <s v="Dinner"/>
    <x v="0"/>
    <n v="20.23"/>
    <n v="2.0099999999999998"/>
  </r>
  <r>
    <x v="1"/>
    <s v="Male"/>
    <x v="1"/>
    <s v="Dinner"/>
    <x v="0"/>
    <n v="15.01"/>
    <n v="2.09"/>
  </r>
  <r>
    <x v="1"/>
    <s v="Male"/>
    <x v="0"/>
    <s v="Dinner"/>
    <x v="0"/>
    <n v="12.02"/>
    <n v="1.97"/>
  </r>
  <r>
    <x v="1"/>
    <s v="Female"/>
    <x v="0"/>
    <s v="Dinner"/>
    <x v="1"/>
    <n v="17.07"/>
    <n v="3"/>
  </r>
  <r>
    <x v="1"/>
    <s v="Female"/>
    <x v="1"/>
    <s v="Dinner"/>
    <x v="0"/>
    <n v="26.86"/>
    <n v="3.14"/>
  </r>
  <r>
    <x v="1"/>
    <s v="Female"/>
    <x v="1"/>
    <s v="Dinner"/>
    <x v="0"/>
    <n v="25.28"/>
    <n v="5"/>
  </r>
  <r>
    <x v="1"/>
    <s v="Female"/>
    <x v="0"/>
    <s v="Dinner"/>
    <x v="0"/>
    <n v="14.73"/>
    <n v="2.2000000000000002"/>
  </r>
  <r>
    <x v="1"/>
    <s v="Male"/>
    <x v="0"/>
    <s v="Dinner"/>
    <x v="0"/>
    <n v="10.51"/>
    <n v="1.25"/>
  </r>
  <r>
    <x v="1"/>
    <s v="Male"/>
    <x v="1"/>
    <s v="Dinner"/>
    <x v="0"/>
    <n v="17.920000000000002"/>
    <n v="3.08"/>
  </r>
  <r>
    <x v="2"/>
    <s v="Male"/>
    <x v="0"/>
    <s v="Lunch"/>
    <x v="2"/>
    <n v="27.2"/>
    <n v="4"/>
  </r>
  <r>
    <x v="2"/>
    <s v="Male"/>
    <x v="0"/>
    <s v="Lunch"/>
    <x v="0"/>
    <n v="22.76"/>
    <n v="3"/>
  </r>
  <r>
    <x v="2"/>
    <s v="Male"/>
    <x v="0"/>
    <s v="Lunch"/>
    <x v="0"/>
    <n v="17.29"/>
    <n v="2.71"/>
  </r>
  <r>
    <x v="2"/>
    <s v="Male"/>
    <x v="1"/>
    <s v="Lunch"/>
    <x v="0"/>
    <n v="19.440000000000001"/>
    <n v="3"/>
  </r>
  <r>
    <x v="2"/>
    <s v="Male"/>
    <x v="0"/>
    <s v="Lunch"/>
    <x v="0"/>
    <n v="16.66"/>
    <n v="3.4"/>
  </r>
  <r>
    <x v="2"/>
    <s v="Female"/>
    <x v="0"/>
    <s v="Lunch"/>
    <x v="3"/>
    <n v="10.07"/>
    <n v="1.83"/>
  </r>
  <r>
    <x v="2"/>
    <s v="Male"/>
    <x v="1"/>
    <s v="Lunch"/>
    <x v="0"/>
    <n v="32.68"/>
    <n v="5"/>
  </r>
  <r>
    <x v="2"/>
    <s v="Male"/>
    <x v="0"/>
    <s v="Lunch"/>
    <x v="0"/>
    <n v="15.98"/>
    <n v="2.0299999999999998"/>
  </r>
  <r>
    <x v="2"/>
    <s v="Female"/>
    <x v="0"/>
    <s v="Lunch"/>
    <x v="2"/>
    <n v="34.83"/>
    <n v="5.17"/>
  </r>
  <r>
    <x v="2"/>
    <s v="Male"/>
    <x v="0"/>
    <s v="Lunch"/>
    <x v="0"/>
    <n v="13.03"/>
    <n v="2"/>
  </r>
  <r>
    <x v="2"/>
    <s v="Male"/>
    <x v="0"/>
    <s v="Lunch"/>
    <x v="0"/>
    <n v="18.28"/>
    <n v="4"/>
  </r>
  <r>
    <x v="2"/>
    <s v="Male"/>
    <x v="0"/>
    <s v="Lunch"/>
    <x v="0"/>
    <n v="24.71"/>
    <n v="5.85"/>
  </r>
  <r>
    <x v="2"/>
    <s v="Male"/>
    <x v="0"/>
    <s v="Lunch"/>
    <x v="0"/>
    <n v="21.16"/>
    <n v="3"/>
  </r>
  <r>
    <x v="3"/>
    <s v="Male"/>
    <x v="1"/>
    <s v="Dinner"/>
    <x v="0"/>
    <n v="28.97"/>
    <n v="3"/>
  </r>
  <r>
    <x v="3"/>
    <s v="Male"/>
    <x v="0"/>
    <s v="Dinner"/>
    <x v="0"/>
    <n v="22.49"/>
    <n v="3.5"/>
  </r>
  <r>
    <x v="3"/>
    <s v="Female"/>
    <x v="1"/>
    <s v="Dinner"/>
    <x v="0"/>
    <n v="5.75"/>
    <n v="1"/>
  </r>
  <r>
    <x v="3"/>
    <s v="Female"/>
    <x v="1"/>
    <s v="Dinner"/>
    <x v="0"/>
    <n v="16.32"/>
    <n v="4.3"/>
  </r>
  <r>
    <x v="3"/>
    <s v="Female"/>
    <x v="0"/>
    <s v="Dinner"/>
    <x v="0"/>
    <n v="22.75"/>
    <n v="3.25"/>
  </r>
  <r>
    <x v="3"/>
    <s v="Male"/>
    <x v="1"/>
    <s v="Dinner"/>
    <x v="2"/>
    <n v="40.17"/>
    <n v="4.7300000000000004"/>
  </r>
  <r>
    <x v="3"/>
    <s v="Male"/>
    <x v="1"/>
    <s v="Dinner"/>
    <x v="0"/>
    <n v="27.28"/>
    <n v="4"/>
  </r>
  <r>
    <x v="3"/>
    <s v="Male"/>
    <x v="1"/>
    <s v="Dinner"/>
    <x v="0"/>
    <n v="12.03"/>
    <n v="1.5"/>
  </r>
  <r>
    <x v="3"/>
    <s v="Male"/>
    <x v="1"/>
    <s v="Dinner"/>
    <x v="0"/>
    <n v="21.01"/>
    <n v="3"/>
  </r>
  <r>
    <x v="3"/>
    <s v="Male"/>
    <x v="0"/>
    <s v="Dinner"/>
    <x v="0"/>
    <n v="12.46"/>
    <n v="1.5"/>
  </r>
  <r>
    <x v="3"/>
    <s v="Female"/>
    <x v="1"/>
    <s v="Dinner"/>
    <x v="0"/>
    <n v="11.35"/>
    <n v="2.5"/>
  </r>
  <r>
    <x v="3"/>
    <s v="Female"/>
    <x v="1"/>
    <s v="Dinner"/>
    <x v="0"/>
    <n v="15.38"/>
    <n v="3"/>
  </r>
  <r>
    <x v="1"/>
    <s v="Female"/>
    <x v="1"/>
    <s v="Dinner"/>
    <x v="1"/>
    <n v="44.3"/>
    <n v="2.5"/>
  </r>
  <r>
    <x v="1"/>
    <s v="Female"/>
    <x v="1"/>
    <s v="Dinner"/>
    <x v="0"/>
    <n v="22.42"/>
    <n v="3.48"/>
  </r>
  <r>
    <x v="1"/>
    <s v="Female"/>
    <x v="0"/>
    <s v="Dinner"/>
    <x v="0"/>
    <n v="20.92"/>
    <n v="4.08"/>
  </r>
  <r>
    <x v="1"/>
    <s v="Male"/>
    <x v="1"/>
    <s v="Dinner"/>
    <x v="0"/>
    <n v="15.36"/>
    <n v="1.64"/>
  </r>
  <r>
    <x v="1"/>
    <s v="Male"/>
    <x v="1"/>
    <s v="Dinner"/>
    <x v="0"/>
    <n v="20.49"/>
    <n v="4.0599999999999996"/>
  </r>
  <r>
    <x v="1"/>
    <s v="Male"/>
    <x v="1"/>
    <s v="Dinner"/>
    <x v="0"/>
    <n v="25.21"/>
    <n v="4.29"/>
  </r>
  <r>
    <x v="1"/>
    <s v="Male"/>
    <x v="0"/>
    <s v="Dinner"/>
    <x v="0"/>
    <n v="18.239999999999998"/>
    <n v="3.76"/>
  </r>
  <r>
    <x v="1"/>
    <s v="Female"/>
    <x v="1"/>
    <s v="Dinner"/>
    <x v="0"/>
    <n v="14.31"/>
    <n v="4"/>
  </r>
  <r>
    <x v="1"/>
    <s v="Male"/>
    <x v="0"/>
    <s v="Dinner"/>
    <x v="0"/>
    <n v="14"/>
    <n v="3"/>
  </r>
  <r>
    <x v="1"/>
    <s v="Female"/>
    <x v="0"/>
    <s v="Dinner"/>
    <x v="3"/>
    <n v="7.25"/>
    <n v="1"/>
  </r>
  <r>
    <x v="0"/>
    <s v="Male"/>
    <x v="0"/>
    <s v="Dinner"/>
    <x v="1"/>
    <n v="38.07"/>
    <n v="4"/>
  </r>
  <r>
    <x v="0"/>
    <s v="Male"/>
    <x v="0"/>
    <s v="Dinner"/>
    <x v="0"/>
    <n v="23.95"/>
    <n v="2.5499999999999998"/>
  </r>
  <r>
    <x v="0"/>
    <s v="Female"/>
    <x v="0"/>
    <s v="Dinner"/>
    <x v="1"/>
    <n v="25.71"/>
    <n v="4"/>
  </r>
  <r>
    <x v="0"/>
    <s v="Female"/>
    <x v="0"/>
    <s v="Dinner"/>
    <x v="0"/>
    <n v="17.309999999999999"/>
    <n v="3.5"/>
  </r>
  <r>
    <x v="0"/>
    <s v="Male"/>
    <x v="0"/>
    <s v="Dinner"/>
    <x v="2"/>
    <n v="29.93"/>
    <n v="5.07"/>
  </r>
  <r>
    <x v="2"/>
    <s v="Female"/>
    <x v="0"/>
    <s v="Lunch"/>
    <x v="0"/>
    <n v="10.65"/>
    <n v="1.5"/>
  </r>
  <r>
    <x v="2"/>
    <s v="Female"/>
    <x v="0"/>
    <s v="Lunch"/>
    <x v="0"/>
    <n v="12.43"/>
    <n v="1.8"/>
  </r>
  <r>
    <x v="2"/>
    <s v="Female"/>
    <x v="0"/>
    <s v="Lunch"/>
    <x v="2"/>
    <n v="24.08"/>
    <n v="2.92"/>
  </r>
  <r>
    <x v="2"/>
    <s v="Male"/>
    <x v="0"/>
    <s v="Lunch"/>
    <x v="0"/>
    <n v="11.69"/>
    <n v="2.31"/>
  </r>
  <r>
    <x v="2"/>
    <s v="Female"/>
    <x v="0"/>
    <s v="Lunch"/>
    <x v="0"/>
    <n v="13.42"/>
    <n v="1.68"/>
  </r>
  <r>
    <x v="2"/>
    <s v="Male"/>
    <x v="0"/>
    <s v="Lunch"/>
    <x v="0"/>
    <n v="14.26"/>
    <n v="2.5"/>
  </r>
  <r>
    <x v="2"/>
    <s v="Male"/>
    <x v="0"/>
    <s v="Lunch"/>
    <x v="0"/>
    <n v="15.95"/>
    <n v="2"/>
  </r>
  <r>
    <x v="2"/>
    <s v="Female"/>
    <x v="0"/>
    <s v="Lunch"/>
    <x v="0"/>
    <n v="12.48"/>
    <n v="2.52"/>
  </r>
  <r>
    <x v="2"/>
    <s v="Female"/>
    <x v="0"/>
    <s v="Lunch"/>
    <x v="4"/>
    <n v="29.8"/>
    <n v="4.2"/>
  </r>
  <r>
    <x v="2"/>
    <s v="Male"/>
    <x v="0"/>
    <s v="Lunch"/>
    <x v="0"/>
    <n v="8.52"/>
    <n v="1.48"/>
  </r>
  <r>
    <x v="2"/>
    <s v="Female"/>
    <x v="0"/>
    <s v="Lunch"/>
    <x v="0"/>
    <n v="14.52"/>
    <n v="2"/>
  </r>
  <r>
    <x v="2"/>
    <s v="Female"/>
    <x v="0"/>
    <s v="Lunch"/>
    <x v="0"/>
    <n v="11.38"/>
    <n v="2"/>
  </r>
  <r>
    <x v="2"/>
    <s v="Male"/>
    <x v="0"/>
    <s v="Lunch"/>
    <x v="1"/>
    <n v="22.82"/>
    <n v="2.1800000000000002"/>
  </r>
  <r>
    <x v="2"/>
    <s v="Male"/>
    <x v="0"/>
    <s v="Lunch"/>
    <x v="0"/>
    <n v="19.079999999999998"/>
    <n v="1.5"/>
  </r>
  <r>
    <x v="2"/>
    <s v="Female"/>
    <x v="0"/>
    <s v="Lunch"/>
    <x v="0"/>
    <n v="20.27"/>
    <n v="2.83"/>
  </r>
  <r>
    <x v="2"/>
    <s v="Female"/>
    <x v="0"/>
    <s v="Lunch"/>
    <x v="0"/>
    <n v="11.17"/>
    <n v="1.5"/>
  </r>
  <r>
    <x v="2"/>
    <s v="Female"/>
    <x v="0"/>
    <s v="Lunch"/>
    <x v="0"/>
    <n v="12.26"/>
    <n v="2"/>
  </r>
  <r>
    <x v="2"/>
    <s v="Female"/>
    <x v="0"/>
    <s v="Lunch"/>
    <x v="0"/>
    <n v="18.260000000000002"/>
    <n v="3.25"/>
  </r>
  <r>
    <x v="2"/>
    <s v="Female"/>
    <x v="0"/>
    <s v="Lunch"/>
    <x v="0"/>
    <n v="8.51"/>
    <n v="1.25"/>
  </r>
  <r>
    <x v="2"/>
    <s v="Female"/>
    <x v="0"/>
    <s v="Lunch"/>
    <x v="0"/>
    <n v="10.33"/>
    <n v="2"/>
  </r>
  <r>
    <x v="2"/>
    <s v="Female"/>
    <x v="0"/>
    <s v="Lunch"/>
    <x v="0"/>
    <n v="14.15"/>
    <n v="2"/>
  </r>
  <r>
    <x v="2"/>
    <s v="Male"/>
    <x v="1"/>
    <s v="Lunch"/>
    <x v="0"/>
    <n v="16"/>
    <n v="2"/>
  </r>
  <r>
    <x v="2"/>
    <s v="Female"/>
    <x v="0"/>
    <s v="Lunch"/>
    <x v="0"/>
    <n v="13.16"/>
    <n v="2.75"/>
  </r>
  <r>
    <x v="2"/>
    <s v="Female"/>
    <x v="0"/>
    <s v="Lunch"/>
    <x v="0"/>
    <n v="17.47"/>
    <n v="3.5"/>
  </r>
  <r>
    <x v="2"/>
    <s v="Male"/>
    <x v="0"/>
    <s v="Lunch"/>
    <x v="4"/>
    <n v="34.299999999999997"/>
    <n v="6.7"/>
  </r>
  <r>
    <x v="2"/>
    <s v="Male"/>
    <x v="0"/>
    <s v="Lunch"/>
    <x v="5"/>
    <n v="41.19"/>
    <n v="5"/>
  </r>
  <r>
    <x v="2"/>
    <s v="Female"/>
    <x v="0"/>
    <s v="Lunch"/>
    <x v="4"/>
    <n v="27.05"/>
    <n v="5"/>
  </r>
  <r>
    <x v="2"/>
    <s v="Female"/>
    <x v="0"/>
    <s v="Lunch"/>
    <x v="0"/>
    <n v="16.43"/>
    <n v="2.2999999999999998"/>
  </r>
  <r>
    <x v="2"/>
    <s v="Female"/>
    <x v="0"/>
    <s v="Lunch"/>
    <x v="0"/>
    <n v="8.35"/>
    <n v="1.5"/>
  </r>
  <r>
    <x v="2"/>
    <s v="Female"/>
    <x v="0"/>
    <s v="Lunch"/>
    <x v="1"/>
    <n v="18.64"/>
    <n v="1.36"/>
  </r>
  <r>
    <x v="2"/>
    <s v="Female"/>
    <x v="0"/>
    <s v="Lunch"/>
    <x v="0"/>
    <n v="11.87"/>
    <n v="1.63"/>
  </r>
  <r>
    <x v="2"/>
    <s v="Male"/>
    <x v="0"/>
    <s v="Lunch"/>
    <x v="0"/>
    <n v="9.7799999999999994"/>
    <n v="1.73"/>
  </r>
  <r>
    <x v="2"/>
    <s v="Male"/>
    <x v="0"/>
    <s v="Lunch"/>
    <x v="0"/>
    <n v="7.51"/>
    <n v="2"/>
  </r>
  <r>
    <x v="0"/>
    <s v="Male"/>
    <x v="0"/>
    <s v="Dinner"/>
    <x v="0"/>
    <n v="14.07"/>
    <n v="2.5"/>
  </r>
  <r>
    <x v="0"/>
    <s v="Male"/>
    <x v="0"/>
    <s v="Dinner"/>
    <x v="0"/>
    <n v="13.13"/>
    <n v="2"/>
  </r>
  <r>
    <x v="0"/>
    <s v="Male"/>
    <x v="0"/>
    <s v="Dinner"/>
    <x v="1"/>
    <n v="17.260000000000002"/>
    <n v="2.74"/>
  </r>
  <r>
    <x v="0"/>
    <s v="Male"/>
    <x v="0"/>
    <s v="Dinner"/>
    <x v="2"/>
    <n v="24.55"/>
    <n v="2"/>
  </r>
  <r>
    <x v="0"/>
    <s v="Male"/>
    <x v="0"/>
    <s v="Dinner"/>
    <x v="2"/>
    <n v="19.77"/>
    <n v="2"/>
  </r>
  <r>
    <x v="0"/>
    <s v="Female"/>
    <x v="0"/>
    <s v="Dinner"/>
    <x v="5"/>
    <n v="29.85"/>
    <n v="5.14"/>
  </r>
  <r>
    <x v="0"/>
    <s v="Male"/>
    <x v="0"/>
    <s v="Dinner"/>
    <x v="4"/>
    <n v="48.17"/>
    <n v="5"/>
  </r>
  <r>
    <x v="0"/>
    <s v="Female"/>
    <x v="0"/>
    <s v="Dinner"/>
    <x v="2"/>
    <n v="25"/>
    <n v="3.75"/>
  </r>
  <r>
    <x v="0"/>
    <s v="Female"/>
    <x v="0"/>
    <s v="Dinner"/>
    <x v="0"/>
    <n v="13.39"/>
    <n v="2.61"/>
  </r>
  <r>
    <x v="0"/>
    <s v="Male"/>
    <x v="0"/>
    <s v="Dinner"/>
    <x v="2"/>
    <n v="16.489999999999998"/>
    <n v="2"/>
  </r>
  <r>
    <x v="0"/>
    <s v="Male"/>
    <x v="0"/>
    <s v="Dinner"/>
    <x v="2"/>
    <n v="21.5"/>
    <n v="3.5"/>
  </r>
  <r>
    <x v="0"/>
    <s v="Male"/>
    <x v="0"/>
    <s v="Dinner"/>
    <x v="0"/>
    <n v="12.66"/>
    <n v="2.5"/>
  </r>
  <r>
    <x v="0"/>
    <s v="Female"/>
    <x v="0"/>
    <s v="Dinner"/>
    <x v="1"/>
    <n v="16.21"/>
    <n v="2"/>
  </r>
  <r>
    <x v="0"/>
    <s v="Male"/>
    <x v="0"/>
    <s v="Dinner"/>
    <x v="0"/>
    <n v="13.81"/>
    <n v="2"/>
  </r>
  <r>
    <x v="0"/>
    <s v="Female"/>
    <x v="1"/>
    <s v="Dinner"/>
    <x v="0"/>
    <n v="17.510000000000002"/>
    <n v="3"/>
  </r>
  <r>
    <x v="0"/>
    <s v="Male"/>
    <x v="0"/>
    <s v="Dinner"/>
    <x v="1"/>
    <n v="24.52"/>
    <n v="3.48"/>
  </r>
  <r>
    <x v="0"/>
    <s v="Male"/>
    <x v="0"/>
    <s v="Dinner"/>
    <x v="0"/>
    <n v="20.76"/>
    <n v="2.2400000000000002"/>
  </r>
  <r>
    <x v="0"/>
    <s v="Male"/>
    <x v="0"/>
    <s v="Dinner"/>
    <x v="2"/>
    <n v="31.71"/>
    <n v="4.5"/>
  </r>
  <r>
    <x v="1"/>
    <s v="Female"/>
    <x v="1"/>
    <s v="Dinner"/>
    <x v="0"/>
    <n v="10.59"/>
    <n v="1.61"/>
  </r>
  <r>
    <x v="1"/>
    <s v="Female"/>
    <x v="1"/>
    <s v="Dinner"/>
    <x v="0"/>
    <n v="10.63"/>
    <n v="2"/>
  </r>
  <r>
    <x v="1"/>
    <s v="Male"/>
    <x v="1"/>
    <s v="Dinner"/>
    <x v="1"/>
    <n v="50.81"/>
    <n v="10"/>
  </r>
  <r>
    <x v="1"/>
    <s v="Male"/>
    <x v="1"/>
    <s v="Dinner"/>
    <x v="0"/>
    <n v="15.81"/>
    <n v="3.16"/>
  </r>
  <r>
    <x v="0"/>
    <s v="Male"/>
    <x v="1"/>
    <s v="Dinner"/>
    <x v="0"/>
    <n v="7.25"/>
    <n v="5.15"/>
  </r>
  <r>
    <x v="0"/>
    <s v="Male"/>
    <x v="1"/>
    <s v="Dinner"/>
    <x v="0"/>
    <n v="31.85"/>
    <n v="3.18"/>
  </r>
  <r>
    <x v="0"/>
    <s v="Male"/>
    <x v="1"/>
    <s v="Dinner"/>
    <x v="0"/>
    <n v="16.82"/>
    <n v="4"/>
  </r>
  <r>
    <x v="0"/>
    <s v="Male"/>
    <x v="1"/>
    <s v="Dinner"/>
    <x v="0"/>
    <n v="32.9"/>
    <n v="3.11"/>
  </r>
  <r>
    <x v="0"/>
    <s v="Male"/>
    <x v="1"/>
    <s v="Dinner"/>
    <x v="0"/>
    <n v="17.89"/>
    <n v="2"/>
  </r>
  <r>
    <x v="0"/>
    <s v="Male"/>
    <x v="1"/>
    <s v="Dinner"/>
    <x v="0"/>
    <n v="14.48"/>
    <n v="2"/>
  </r>
  <r>
    <x v="0"/>
    <s v="Female"/>
    <x v="1"/>
    <s v="Dinner"/>
    <x v="0"/>
    <n v="9.6"/>
    <n v="4"/>
  </r>
  <r>
    <x v="0"/>
    <s v="Male"/>
    <x v="1"/>
    <s v="Dinner"/>
    <x v="0"/>
    <n v="34.630000000000003"/>
    <n v="3.55"/>
  </r>
  <r>
    <x v="0"/>
    <s v="Male"/>
    <x v="1"/>
    <s v="Dinner"/>
    <x v="2"/>
    <n v="34.65"/>
    <n v="3.68"/>
  </r>
  <r>
    <x v="0"/>
    <s v="Male"/>
    <x v="1"/>
    <s v="Dinner"/>
    <x v="0"/>
    <n v="23.33"/>
    <n v="5.65"/>
  </r>
  <r>
    <x v="0"/>
    <s v="Male"/>
    <x v="1"/>
    <s v="Dinner"/>
    <x v="1"/>
    <n v="45.35"/>
    <n v="3.5"/>
  </r>
  <r>
    <x v="0"/>
    <s v="Male"/>
    <x v="1"/>
    <s v="Dinner"/>
    <x v="2"/>
    <n v="23.17"/>
    <n v="6.5"/>
  </r>
  <r>
    <x v="0"/>
    <s v="Male"/>
    <x v="1"/>
    <s v="Dinner"/>
    <x v="0"/>
    <n v="40.549999999999997"/>
    <n v="3"/>
  </r>
  <r>
    <x v="0"/>
    <s v="Male"/>
    <x v="0"/>
    <s v="Dinner"/>
    <x v="5"/>
    <n v="20.69"/>
    <n v="5"/>
  </r>
  <r>
    <x v="0"/>
    <s v="Female"/>
    <x v="1"/>
    <s v="Dinner"/>
    <x v="1"/>
    <n v="20.9"/>
    <n v="3.5"/>
  </r>
  <r>
    <x v="0"/>
    <s v="Male"/>
    <x v="1"/>
    <s v="Dinner"/>
    <x v="5"/>
    <n v="30.46"/>
    <n v="2"/>
  </r>
  <r>
    <x v="0"/>
    <s v="Female"/>
    <x v="1"/>
    <s v="Dinner"/>
    <x v="1"/>
    <n v="18.149999999999999"/>
    <n v="3.5"/>
  </r>
  <r>
    <x v="0"/>
    <s v="Male"/>
    <x v="1"/>
    <s v="Dinner"/>
    <x v="1"/>
    <n v="23.1"/>
    <n v="4"/>
  </r>
  <r>
    <x v="0"/>
    <s v="Male"/>
    <x v="1"/>
    <s v="Dinner"/>
    <x v="0"/>
    <n v="15.69"/>
    <n v="1.5"/>
  </r>
  <r>
    <x v="2"/>
    <s v="Female"/>
    <x v="1"/>
    <s v="Lunch"/>
    <x v="0"/>
    <n v="19.809999999999999"/>
    <n v="4.1900000000000004"/>
  </r>
  <r>
    <x v="2"/>
    <s v="Male"/>
    <x v="1"/>
    <s v="Lunch"/>
    <x v="0"/>
    <n v="28.44"/>
    <n v="2.56"/>
  </r>
  <r>
    <x v="2"/>
    <s v="Male"/>
    <x v="1"/>
    <s v="Lunch"/>
    <x v="0"/>
    <n v="15.48"/>
    <n v="2.02"/>
  </r>
  <r>
    <x v="2"/>
    <s v="Male"/>
    <x v="1"/>
    <s v="Lunch"/>
    <x v="0"/>
    <n v="16.579999999999998"/>
    <n v="4"/>
  </r>
  <r>
    <x v="2"/>
    <s v="Male"/>
    <x v="0"/>
    <s v="Lunch"/>
    <x v="0"/>
    <n v="7.56"/>
    <n v="1.44"/>
  </r>
  <r>
    <x v="2"/>
    <s v="Male"/>
    <x v="1"/>
    <s v="Lunch"/>
    <x v="0"/>
    <n v="10.34"/>
    <n v="2"/>
  </r>
  <r>
    <x v="2"/>
    <s v="Female"/>
    <x v="1"/>
    <s v="Lunch"/>
    <x v="2"/>
    <n v="43.11"/>
    <n v="5"/>
  </r>
  <r>
    <x v="2"/>
    <s v="Female"/>
    <x v="1"/>
    <s v="Lunch"/>
    <x v="0"/>
    <n v="13"/>
    <n v="2"/>
  </r>
  <r>
    <x v="2"/>
    <s v="Male"/>
    <x v="1"/>
    <s v="Lunch"/>
    <x v="0"/>
    <n v="13.51"/>
    <n v="2"/>
  </r>
  <r>
    <x v="2"/>
    <s v="Male"/>
    <x v="1"/>
    <s v="Lunch"/>
    <x v="1"/>
    <n v="18.71"/>
    <n v="4"/>
  </r>
  <r>
    <x v="2"/>
    <s v="Female"/>
    <x v="1"/>
    <s v="Lunch"/>
    <x v="0"/>
    <n v="12.74"/>
    <n v="2.0099999999999998"/>
  </r>
  <r>
    <x v="2"/>
    <s v="Female"/>
    <x v="1"/>
    <s v="Lunch"/>
    <x v="0"/>
    <n v="13"/>
    <n v="2"/>
  </r>
  <r>
    <x v="2"/>
    <s v="Female"/>
    <x v="1"/>
    <s v="Lunch"/>
    <x v="0"/>
    <n v="16.399999999999999"/>
    <n v="2.5"/>
  </r>
  <r>
    <x v="2"/>
    <s v="Male"/>
    <x v="1"/>
    <s v="Lunch"/>
    <x v="2"/>
    <n v="20.53"/>
    <n v="4"/>
  </r>
  <r>
    <x v="2"/>
    <s v="Female"/>
    <x v="1"/>
    <s v="Lunch"/>
    <x v="1"/>
    <n v="16.47"/>
    <n v="3.23"/>
  </r>
  <r>
    <x v="1"/>
    <s v="Male"/>
    <x v="1"/>
    <s v="Dinner"/>
    <x v="1"/>
    <n v="26.59"/>
    <n v="3.41"/>
  </r>
  <r>
    <x v="1"/>
    <s v="Male"/>
    <x v="1"/>
    <s v="Dinner"/>
    <x v="2"/>
    <n v="38.729999999999997"/>
    <n v="3"/>
  </r>
  <r>
    <x v="1"/>
    <s v="Male"/>
    <x v="1"/>
    <s v="Dinner"/>
    <x v="0"/>
    <n v="24.27"/>
    <n v="2.0299999999999998"/>
  </r>
  <r>
    <x v="1"/>
    <s v="Female"/>
    <x v="1"/>
    <s v="Dinner"/>
    <x v="0"/>
    <n v="12.76"/>
    <n v="2.23"/>
  </r>
  <r>
    <x v="1"/>
    <s v="Male"/>
    <x v="1"/>
    <s v="Dinner"/>
    <x v="1"/>
    <n v="30.06"/>
    <n v="2"/>
  </r>
  <r>
    <x v="1"/>
    <s v="Male"/>
    <x v="1"/>
    <s v="Dinner"/>
    <x v="2"/>
    <n v="25.89"/>
    <n v="5.16"/>
  </r>
  <r>
    <x v="1"/>
    <s v="Male"/>
    <x v="0"/>
    <s v="Dinner"/>
    <x v="2"/>
    <n v="48.33"/>
    <n v="9"/>
  </r>
  <r>
    <x v="1"/>
    <s v="Female"/>
    <x v="1"/>
    <s v="Dinner"/>
    <x v="0"/>
    <n v="13.27"/>
    <n v="2.5"/>
  </r>
  <r>
    <x v="1"/>
    <s v="Female"/>
    <x v="1"/>
    <s v="Dinner"/>
    <x v="1"/>
    <n v="28.17"/>
    <n v="6.5"/>
  </r>
  <r>
    <x v="1"/>
    <s v="Female"/>
    <x v="1"/>
    <s v="Dinner"/>
    <x v="0"/>
    <n v="12.9"/>
    <n v="1.1000000000000001"/>
  </r>
  <r>
    <x v="1"/>
    <s v="Male"/>
    <x v="1"/>
    <s v="Dinner"/>
    <x v="5"/>
    <n v="28.15"/>
    <n v="3"/>
  </r>
  <r>
    <x v="1"/>
    <s v="Male"/>
    <x v="1"/>
    <s v="Dinner"/>
    <x v="0"/>
    <n v="11.59"/>
    <n v="1.5"/>
  </r>
  <r>
    <x v="1"/>
    <s v="Male"/>
    <x v="1"/>
    <s v="Dinner"/>
    <x v="0"/>
    <n v="7.74"/>
    <n v="1.44"/>
  </r>
  <r>
    <x v="1"/>
    <s v="Female"/>
    <x v="1"/>
    <s v="Dinner"/>
    <x v="2"/>
    <n v="30.14"/>
    <n v="3.09"/>
  </r>
  <r>
    <x v="3"/>
    <s v="Male"/>
    <x v="1"/>
    <s v="Lunch"/>
    <x v="0"/>
    <n v="12.16"/>
    <n v="2.2000000000000002"/>
  </r>
  <r>
    <x v="3"/>
    <s v="Female"/>
    <x v="1"/>
    <s v="Lunch"/>
    <x v="0"/>
    <n v="13.42"/>
    <n v="3.48"/>
  </r>
  <r>
    <x v="3"/>
    <s v="Male"/>
    <x v="1"/>
    <s v="Lunch"/>
    <x v="3"/>
    <n v="8.58"/>
    <n v="1.92"/>
  </r>
  <r>
    <x v="3"/>
    <s v="Female"/>
    <x v="0"/>
    <s v="Lunch"/>
    <x v="1"/>
    <n v="15.98"/>
    <n v="3"/>
  </r>
  <r>
    <x v="3"/>
    <s v="Male"/>
    <x v="1"/>
    <s v="Lunch"/>
    <x v="0"/>
    <n v="13.42"/>
    <n v="1.58"/>
  </r>
  <r>
    <x v="3"/>
    <s v="Female"/>
    <x v="1"/>
    <s v="Lunch"/>
    <x v="0"/>
    <n v="16.27"/>
    <n v="2.5"/>
  </r>
  <r>
    <x v="3"/>
    <s v="Female"/>
    <x v="1"/>
    <s v="Lunch"/>
    <x v="0"/>
    <n v="10.09"/>
    <n v="2"/>
  </r>
  <r>
    <x v="1"/>
    <s v="Male"/>
    <x v="0"/>
    <s v="Dinner"/>
    <x v="2"/>
    <n v="20.45"/>
    <n v="3"/>
  </r>
  <r>
    <x v="1"/>
    <s v="Male"/>
    <x v="0"/>
    <s v="Dinner"/>
    <x v="0"/>
    <n v="13.28"/>
    <n v="2.72"/>
  </r>
  <r>
    <x v="1"/>
    <s v="Female"/>
    <x v="1"/>
    <s v="Dinner"/>
    <x v="0"/>
    <n v="22.12"/>
    <n v="2.88"/>
  </r>
  <r>
    <x v="1"/>
    <s v="Male"/>
    <x v="1"/>
    <s v="Dinner"/>
    <x v="2"/>
    <n v="24.01"/>
    <n v="2"/>
  </r>
  <r>
    <x v="1"/>
    <s v="Male"/>
    <x v="1"/>
    <s v="Dinner"/>
    <x v="1"/>
    <n v="15.69"/>
    <n v="3"/>
  </r>
  <r>
    <x v="1"/>
    <s v="Male"/>
    <x v="0"/>
    <s v="Dinner"/>
    <x v="0"/>
    <n v="11.61"/>
    <n v="3.39"/>
  </r>
  <r>
    <x v="1"/>
    <s v="Male"/>
    <x v="0"/>
    <s v="Dinner"/>
    <x v="0"/>
    <n v="10.77"/>
    <n v="1.47"/>
  </r>
  <r>
    <x v="1"/>
    <s v="Male"/>
    <x v="1"/>
    <s v="Dinner"/>
    <x v="0"/>
    <n v="15.53"/>
    <n v="3"/>
  </r>
  <r>
    <x v="1"/>
    <s v="Male"/>
    <x v="0"/>
    <s v="Dinner"/>
    <x v="0"/>
    <n v="10.07"/>
    <n v="1.25"/>
  </r>
  <r>
    <x v="1"/>
    <s v="Male"/>
    <x v="1"/>
    <s v="Dinner"/>
    <x v="0"/>
    <n v="12.6"/>
    <n v="1"/>
  </r>
  <r>
    <x v="1"/>
    <s v="Male"/>
    <x v="1"/>
    <s v="Dinner"/>
    <x v="0"/>
    <n v="32.83"/>
    <n v="1.17"/>
  </r>
  <r>
    <x v="1"/>
    <s v="Female"/>
    <x v="0"/>
    <s v="Dinner"/>
    <x v="1"/>
    <n v="35.83"/>
    <n v="4.67"/>
  </r>
  <r>
    <x v="1"/>
    <s v="Male"/>
    <x v="0"/>
    <s v="Dinner"/>
    <x v="1"/>
    <n v="29.03"/>
    <n v="5.92"/>
  </r>
  <r>
    <x v="1"/>
    <s v="Female"/>
    <x v="1"/>
    <s v="Dinner"/>
    <x v="0"/>
    <n v="27.18"/>
    <n v="2"/>
  </r>
  <r>
    <x v="1"/>
    <s v="Male"/>
    <x v="1"/>
    <s v="Dinner"/>
    <x v="0"/>
    <n v="22.67"/>
    <n v="2"/>
  </r>
  <r>
    <x v="1"/>
    <s v="Male"/>
    <x v="0"/>
    <s v="Dinner"/>
    <x v="0"/>
    <n v="17.82"/>
    <n v="1.75"/>
  </r>
  <r>
    <x v="2"/>
    <s v="Female"/>
    <x v="0"/>
    <s v="Dinner"/>
    <x v="0"/>
    <n v="18.7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87979-0C8D-476D-BD4D-8E8A34EDA3C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 rowHeaderCaption="Size">
  <location ref="G31:J38" firstHeaderRow="0" firstDataRow="1" firstDataCol="1"/>
  <pivotFields count="8"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numFmtId="1" showAll="0" sortType="ascending">
      <items count="7">
        <item sd="0" x="3"/>
        <item sd="0" x="0"/>
        <item sd="0" x="1"/>
        <item sd="0" x="2"/>
        <item sd="0" x="5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dataField="1" numFmtId="4" showAll="0"/>
    <pivotField dragToRow="0" dragToCol="0" dragToPage="0" showAll="0" defaultSubtotal="0"/>
  </pivotFields>
  <rowFields count="1">
    <field x="4"/>
  </rowFields>
  <rowItems count="7">
    <i>
      <x/>
    </i>
    <i>
      <x v="5"/>
    </i>
    <i>
      <x v="4"/>
    </i>
    <i>
      <x v="2"/>
    </i>
    <i>
      <x v="3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bill" fld="5" baseField="0" baseItem="0" numFmtId="4"/>
    <dataField name="Sum of Tip" fld="6" baseField="0" baseItem="0" numFmtId="4"/>
    <dataField name="Average of Total_bill2" fld="5" subtotal="average" baseField="4" baseItem="0" numFmtId="4"/>
  </dataFields>
  <formats count="6">
    <format dxfId="24">
      <pivotArea field="4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dataOnly="0" fieldPosition="0">
        <references count="1">
          <reference field="4" count="0"/>
        </references>
      </pivotArea>
    </format>
    <format dxfId="27">
      <pivotArea dataOnly="0" labelOnly="1" grandRow="1" outline="0" fieldPosition="0"/>
    </format>
    <format dxfId="28">
      <pivotArea collapsedLevelsAreSubtotals="1" fieldPosition="0">
        <references count="1">
          <reference field="4" count="0"/>
        </references>
      </pivotArea>
    </format>
    <format dxfId="29">
      <pivotArea grandRow="1" outline="0" collapsedLevelsAreSubtotals="1" fieldPosition="0"/>
    </format>
  </formats>
  <chartFormats count="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F028B-4195-480C-B12F-0658F0614A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ay">
  <location ref="C31:D36" firstHeaderRow="1" firstDataRow="1" firstDataCol="1"/>
  <pivotFields count="8"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numFmtId="1" showAll="0"/>
    <pivotField dataField="1" numFmtId="4" showAll="0"/>
    <pivotField numFmtId="4" showAl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bill" fld="5" baseField="0" baseItem="0" numFmtId="4"/>
  </dataFields>
  <formats count="6">
    <format dxfId="50">
      <pivotArea field="0" type="button" dataOnly="0" labelOnly="1" outline="0" axis="axisRow" fieldPosition="0"/>
    </format>
    <format dxfId="49">
      <pivotArea dataOnly="0" labelOnly="1" outline="0" axis="axisValues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collapsedLevelsAreSubtotals="1" fieldPosition="0">
        <references count="1">
          <reference field="0" count="0"/>
        </references>
      </pivotArea>
    </format>
    <format dxfId="45">
      <pivotArea grandRow="1"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7E66FA-E94A-411D-9E1E-BB451ECE211C}" autoFormatId="16" applyNumberFormats="0" applyBorderFormats="0" applyFontFormats="0" applyPatternFormats="0" applyAlignmentFormats="0" applyWidthHeightFormats="0">
  <queryTableRefresh nextId="13">
    <queryTableFields count="7">
      <queryTableField id="5" name="day" tableColumnId="5"/>
      <queryTableField id="3" name="sex" tableColumnId="3"/>
      <queryTableField id="4" name="smoker" tableColumnId="4"/>
      <queryTableField id="6" name="time" tableColumnId="6"/>
      <queryTableField id="7" name="size" tableColumnId="7"/>
      <queryTableField id="1" name="total_bill" tableColumnId="1"/>
      <queryTableField id="2" name="tip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EF0E7-807B-429F-A8D2-E51075C4A7C7}" name="raw_tips" displayName="raw_tips" ref="C5:I249" tableType="queryTable" totalsRowShown="0" headerRowDxfId="44" dataDxfId="43">
  <autoFilter ref="C5:I249" xr:uid="{BE0EF0E7-807B-429F-A8D2-E51075C4A7C7}"/>
  <tableColumns count="7">
    <tableColumn id="5" xr3:uid="{BB9F2A0C-C8D7-4951-9E4B-54B5F7B7542B}" uniqueName="5" name="Day" queryTableFieldId="5" dataDxfId="42"/>
    <tableColumn id="3" xr3:uid="{B240DC94-AF42-497B-8810-ACA84EC451E3}" uniqueName="3" name="Sex" queryTableFieldId="3" dataDxfId="41"/>
    <tableColumn id="4" xr3:uid="{3FB8159C-3E1F-4E62-91D3-766EAE05E176}" uniqueName="4" name="Smoker" queryTableFieldId="4" dataDxfId="40"/>
    <tableColumn id="6" xr3:uid="{F7A7636C-5776-455F-B021-DFEAE337FE44}" uniqueName="6" name="Time" queryTableFieldId="6" dataDxfId="39"/>
    <tableColumn id="7" xr3:uid="{E7209771-E4A6-4EDC-95C5-EDF49A4CA57D}" uniqueName="7" name="Size" queryTableFieldId="7" dataDxfId="38"/>
    <tableColumn id="1" xr3:uid="{4B6D4347-2D82-4C9D-B3F5-E5275FA45DD2}" uniqueName="1" name="Total_bill" queryTableFieldId="1" dataDxfId="37"/>
    <tableColumn id="2" xr3:uid="{89A6E726-C0FB-41A0-8DDF-521D7ADD477D}" uniqueName="2" name="Tip" queryTableFieldId="2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92D6-7D03-4F2A-815E-4A9D1B9AE742}">
  <dimension ref="C1:M249"/>
  <sheetViews>
    <sheetView showGridLines="0" zoomScale="90" zoomScaleNormal="90" workbookViewId="0">
      <selection activeCell="M10" sqref="M10"/>
    </sheetView>
  </sheetViews>
  <sheetFormatPr defaultRowHeight="15" x14ac:dyDescent="0.25"/>
  <cols>
    <col min="1" max="1" width="2.7109375" customWidth="1"/>
    <col min="2" max="2" width="3.140625" customWidth="1"/>
    <col min="3" max="3" width="15" style="2" customWidth="1"/>
    <col min="4" max="4" width="15" style="1" customWidth="1"/>
    <col min="5" max="8" width="15" customWidth="1"/>
    <col min="9" max="9" width="15" style="3" customWidth="1"/>
  </cols>
  <sheetData>
    <row r="1" spans="3:13" s="6" customFormat="1" x14ac:dyDescent="0.25">
      <c r="C1" s="4"/>
      <c r="D1" s="5"/>
      <c r="I1" s="7"/>
    </row>
    <row r="2" spans="3:13" s="6" customFormat="1" ht="27" customHeight="1" x14ac:dyDescent="0.25">
      <c r="C2" s="4"/>
      <c r="D2" s="5"/>
      <c r="I2" s="7"/>
    </row>
    <row r="3" spans="3:13" s="6" customFormat="1" x14ac:dyDescent="0.25">
      <c r="C3" s="4"/>
      <c r="D3" s="5"/>
      <c r="I3" s="7"/>
    </row>
    <row r="5" spans="3:13" x14ac:dyDescent="0.25">
      <c r="C5" s="8" t="s">
        <v>14</v>
      </c>
      <c r="D5" s="8" t="s">
        <v>12</v>
      </c>
      <c r="E5" s="8" t="s">
        <v>13</v>
      </c>
      <c r="F5" s="8" t="s">
        <v>15</v>
      </c>
      <c r="G5" s="13" t="s">
        <v>16</v>
      </c>
      <c r="H5" s="14" t="s">
        <v>10</v>
      </c>
      <c r="I5" s="15" t="s">
        <v>11</v>
      </c>
    </row>
    <row r="6" spans="3:13" x14ac:dyDescent="0.25">
      <c r="C6" s="10" t="s">
        <v>2</v>
      </c>
      <c r="D6" s="10" t="s">
        <v>0</v>
      </c>
      <c r="E6" s="10" t="s">
        <v>1</v>
      </c>
      <c r="F6" s="10" t="s">
        <v>3</v>
      </c>
      <c r="G6" s="11">
        <v>2</v>
      </c>
      <c r="H6" s="12">
        <v>16.989999999999998</v>
      </c>
      <c r="I6" s="12">
        <v>1.01</v>
      </c>
      <c r="M6" s="1"/>
    </row>
    <row r="7" spans="3:13" x14ac:dyDescent="0.25">
      <c r="C7" s="10" t="s">
        <v>2</v>
      </c>
      <c r="D7" s="10" t="s">
        <v>4</v>
      </c>
      <c r="E7" s="10" t="s">
        <v>1</v>
      </c>
      <c r="F7" s="10" t="s">
        <v>3</v>
      </c>
      <c r="G7" s="11">
        <v>3</v>
      </c>
      <c r="H7" s="12">
        <v>10.34</v>
      </c>
      <c r="I7" s="12">
        <v>1.66</v>
      </c>
      <c r="L7" s="2"/>
      <c r="M7" s="1"/>
    </row>
    <row r="8" spans="3:13" x14ac:dyDescent="0.25">
      <c r="C8" s="10" t="s">
        <v>2</v>
      </c>
      <c r="D8" s="10" t="s">
        <v>4</v>
      </c>
      <c r="E8" s="10" t="s">
        <v>1</v>
      </c>
      <c r="F8" s="10" t="s">
        <v>3</v>
      </c>
      <c r="G8" s="11">
        <v>3</v>
      </c>
      <c r="H8" s="12">
        <v>21.01</v>
      </c>
      <c r="I8" s="12">
        <v>3.5</v>
      </c>
      <c r="L8" s="1"/>
    </row>
    <row r="9" spans="3:13" x14ac:dyDescent="0.25">
      <c r="C9" s="10" t="s">
        <v>2</v>
      </c>
      <c r="D9" s="10" t="s">
        <v>4</v>
      </c>
      <c r="E9" s="10" t="s">
        <v>1</v>
      </c>
      <c r="F9" s="10" t="s">
        <v>3</v>
      </c>
      <c r="G9" s="11">
        <v>2</v>
      </c>
      <c r="H9" s="12">
        <v>23.68</v>
      </c>
      <c r="I9" s="12">
        <v>3.31</v>
      </c>
      <c r="L9" s="1"/>
      <c r="M9" s="1"/>
    </row>
    <row r="10" spans="3:13" x14ac:dyDescent="0.25">
      <c r="C10" s="10" t="s">
        <v>2</v>
      </c>
      <c r="D10" s="10" t="s">
        <v>0</v>
      </c>
      <c r="E10" s="10" t="s">
        <v>1</v>
      </c>
      <c r="F10" s="10" t="s">
        <v>3</v>
      </c>
      <c r="G10" s="11">
        <v>4</v>
      </c>
      <c r="H10" s="12">
        <v>24.59</v>
      </c>
      <c r="I10" s="12">
        <v>3.61</v>
      </c>
    </row>
    <row r="11" spans="3:13" x14ac:dyDescent="0.25">
      <c r="C11" s="10" t="s">
        <v>2</v>
      </c>
      <c r="D11" s="10" t="s">
        <v>4</v>
      </c>
      <c r="E11" s="10" t="s">
        <v>1</v>
      </c>
      <c r="F11" s="10" t="s">
        <v>3</v>
      </c>
      <c r="G11" s="11">
        <v>4</v>
      </c>
      <c r="H11" s="12">
        <v>25.29</v>
      </c>
      <c r="I11" s="12">
        <v>4.71</v>
      </c>
    </row>
    <row r="12" spans="3:13" x14ac:dyDescent="0.25">
      <c r="C12" s="10" t="s">
        <v>2</v>
      </c>
      <c r="D12" s="10" t="s">
        <v>4</v>
      </c>
      <c r="E12" s="10" t="s">
        <v>1</v>
      </c>
      <c r="F12" s="10" t="s">
        <v>3</v>
      </c>
      <c r="G12" s="11">
        <v>2</v>
      </c>
      <c r="H12" s="12">
        <v>8.77</v>
      </c>
      <c r="I12" s="12">
        <v>2</v>
      </c>
    </row>
    <row r="13" spans="3:13" x14ac:dyDescent="0.25">
      <c r="C13" s="10" t="s">
        <v>2</v>
      </c>
      <c r="D13" s="10" t="s">
        <v>4</v>
      </c>
      <c r="E13" s="10" t="s">
        <v>1</v>
      </c>
      <c r="F13" s="10" t="s">
        <v>3</v>
      </c>
      <c r="G13" s="11">
        <v>4</v>
      </c>
      <c r="H13" s="12">
        <v>26.88</v>
      </c>
      <c r="I13" s="12">
        <v>3.12</v>
      </c>
    </row>
    <row r="14" spans="3:13" x14ac:dyDescent="0.25">
      <c r="C14" s="10" t="s">
        <v>2</v>
      </c>
      <c r="D14" s="10" t="s">
        <v>4</v>
      </c>
      <c r="E14" s="10" t="s">
        <v>1</v>
      </c>
      <c r="F14" s="10" t="s">
        <v>3</v>
      </c>
      <c r="G14" s="11">
        <v>2</v>
      </c>
      <c r="H14" s="12">
        <v>15.04</v>
      </c>
      <c r="I14" s="12">
        <v>1.96</v>
      </c>
    </row>
    <row r="15" spans="3:13" x14ac:dyDescent="0.25">
      <c r="C15" s="10" t="s">
        <v>2</v>
      </c>
      <c r="D15" s="10" t="s">
        <v>4</v>
      </c>
      <c r="E15" s="10" t="s">
        <v>1</v>
      </c>
      <c r="F15" s="10" t="s">
        <v>3</v>
      </c>
      <c r="G15" s="11">
        <v>2</v>
      </c>
      <c r="H15" s="12">
        <v>14.78</v>
      </c>
      <c r="I15" s="12">
        <v>3.23</v>
      </c>
    </row>
    <row r="16" spans="3:13" x14ac:dyDescent="0.25">
      <c r="C16" s="10" t="s">
        <v>2</v>
      </c>
      <c r="D16" s="10" t="s">
        <v>4</v>
      </c>
      <c r="E16" s="10" t="s">
        <v>1</v>
      </c>
      <c r="F16" s="10" t="s">
        <v>3</v>
      </c>
      <c r="G16" s="11">
        <v>2</v>
      </c>
      <c r="H16" s="12">
        <v>10.27</v>
      </c>
      <c r="I16" s="12">
        <v>1.71</v>
      </c>
    </row>
    <row r="17" spans="3:9" x14ac:dyDescent="0.25">
      <c r="C17" s="10" t="s">
        <v>2</v>
      </c>
      <c r="D17" s="10" t="s">
        <v>0</v>
      </c>
      <c r="E17" s="10" t="s">
        <v>1</v>
      </c>
      <c r="F17" s="10" t="s">
        <v>3</v>
      </c>
      <c r="G17" s="11">
        <v>4</v>
      </c>
      <c r="H17" s="12">
        <v>35.26</v>
      </c>
      <c r="I17" s="12">
        <v>5</v>
      </c>
    </row>
    <row r="18" spans="3:9" x14ac:dyDescent="0.25">
      <c r="C18" s="10" t="s">
        <v>2</v>
      </c>
      <c r="D18" s="10" t="s">
        <v>4</v>
      </c>
      <c r="E18" s="10" t="s">
        <v>1</v>
      </c>
      <c r="F18" s="10" t="s">
        <v>3</v>
      </c>
      <c r="G18" s="11">
        <v>2</v>
      </c>
      <c r="H18" s="12">
        <v>15.42</v>
      </c>
      <c r="I18" s="12">
        <v>1.57</v>
      </c>
    </row>
    <row r="19" spans="3:9" x14ac:dyDescent="0.25">
      <c r="C19" s="10" t="s">
        <v>2</v>
      </c>
      <c r="D19" s="10" t="s">
        <v>4</v>
      </c>
      <c r="E19" s="10" t="s">
        <v>1</v>
      </c>
      <c r="F19" s="10" t="s">
        <v>3</v>
      </c>
      <c r="G19" s="11">
        <v>4</v>
      </c>
      <c r="H19" s="12">
        <v>18.43</v>
      </c>
      <c r="I19" s="12">
        <v>3</v>
      </c>
    </row>
    <row r="20" spans="3:9" x14ac:dyDescent="0.25">
      <c r="C20" s="10" t="s">
        <v>2</v>
      </c>
      <c r="D20" s="10" t="s">
        <v>0</v>
      </c>
      <c r="E20" s="10" t="s">
        <v>1</v>
      </c>
      <c r="F20" s="10" t="s">
        <v>3</v>
      </c>
      <c r="G20" s="11">
        <v>2</v>
      </c>
      <c r="H20" s="12">
        <v>14.83</v>
      </c>
      <c r="I20" s="12">
        <v>3.02</v>
      </c>
    </row>
    <row r="21" spans="3:9" x14ac:dyDescent="0.25">
      <c r="C21" s="10" t="s">
        <v>2</v>
      </c>
      <c r="D21" s="10" t="s">
        <v>4</v>
      </c>
      <c r="E21" s="10" t="s">
        <v>1</v>
      </c>
      <c r="F21" s="10" t="s">
        <v>3</v>
      </c>
      <c r="G21" s="11">
        <v>2</v>
      </c>
      <c r="H21" s="12">
        <v>21.58</v>
      </c>
      <c r="I21" s="12">
        <v>3.92</v>
      </c>
    </row>
    <row r="22" spans="3:9" x14ac:dyDescent="0.25">
      <c r="C22" s="10" t="s">
        <v>2</v>
      </c>
      <c r="D22" s="10" t="s">
        <v>0</v>
      </c>
      <c r="E22" s="10" t="s">
        <v>1</v>
      </c>
      <c r="F22" s="10" t="s">
        <v>3</v>
      </c>
      <c r="G22" s="11">
        <v>3</v>
      </c>
      <c r="H22" s="12">
        <v>10.33</v>
      </c>
      <c r="I22" s="12">
        <v>1.67</v>
      </c>
    </row>
    <row r="23" spans="3:9" x14ac:dyDescent="0.25">
      <c r="C23" s="10" t="s">
        <v>2</v>
      </c>
      <c r="D23" s="10" t="s">
        <v>4</v>
      </c>
      <c r="E23" s="10" t="s">
        <v>1</v>
      </c>
      <c r="F23" s="10" t="s">
        <v>3</v>
      </c>
      <c r="G23" s="11">
        <v>3</v>
      </c>
      <c r="H23" s="12">
        <v>16.29</v>
      </c>
      <c r="I23" s="12">
        <v>3.71</v>
      </c>
    </row>
    <row r="24" spans="3:9" x14ac:dyDescent="0.25">
      <c r="C24" s="10" t="s">
        <v>2</v>
      </c>
      <c r="D24" s="10" t="s">
        <v>0</v>
      </c>
      <c r="E24" s="10" t="s">
        <v>1</v>
      </c>
      <c r="F24" s="10" t="s">
        <v>3</v>
      </c>
      <c r="G24" s="11">
        <v>3</v>
      </c>
      <c r="H24" s="12">
        <v>16.97</v>
      </c>
      <c r="I24" s="12">
        <v>3.5</v>
      </c>
    </row>
    <row r="25" spans="3:9" x14ac:dyDescent="0.25">
      <c r="C25" s="10" t="s">
        <v>5</v>
      </c>
      <c r="D25" s="10" t="s">
        <v>4</v>
      </c>
      <c r="E25" s="10" t="s">
        <v>1</v>
      </c>
      <c r="F25" s="10" t="s">
        <v>3</v>
      </c>
      <c r="G25" s="11">
        <v>3</v>
      </c>
      <c r="H25" s="12">
        <v>20.65</v>
      </c>
      <c r="I25" s="12">
        <v>3.35</v>
      </c>
    </row>
    <row r="26" spans="3:9" x14ac:dyDescent="0.25">
      <c r="C26" s="10" t="s">
        <v>5</v>
      </c>
      <c r="D26" s="10" t="s">
        <v>4</v>
      </c>
      <c r="E26" s="10" t="s">
        <v>1</v>
      </c>
      <c r="F26" s="10" t="s">
        <v>3</v>
      </c>
      <c r="G26" s="11">
        <v>2</v>
      </c>
      <c r="H26" s="12">
        <v>17.920000000000002</v>
      </c>
      <c r="I26" s="12">
        <v>4.08</v>
      </c>
    </row>
    <row r="27" spans="3:9" x14ac:dyDescent="0.25">
      <c r="C27" s="10" t="s">
        <v>5</v>
      </c>
      <c r="D27" s="10" t="s">
        <v>0</v>
      </c>
      <c r="E27" s="10" t="s">
        <v>1</v>
      </c>
      <c r="F27" s="10" t="s">
        <v>3</v>
      </c>
      <c r="G27" s="11">
        <v>2</v>
      </c>
      <c r="H27" s="12">
        <v>20.29</v>
      </c>
      <c r="I27" s="12">
        <v>2.75</v>
      </c>
    </row>
    <row r="28" spans="3:9" x14ac:dyDescent="0.25">
      <c r="C28" s="10" t="s">
        <v>5</v>
      </c>
      <c r="D28" s="10" t="s">
        <v>0</v>
      </c>
      <c r="E28" s="10" t="s">
        <v>1</v>
      </c>
      <c r="F28" s="10" t="s">
        <v>3</v>
      </c>
      <c r="G28" s="11">
        <v>2</v>
      </c>
      <c r="H28" s="12">
        <v>15.77</v>
      </c>
      <c r="I28" s="12">
        <v>2.23</v>
      </c>
    </row>
    <row r="29" spans="3:9" x14ac:dyDescent="0.25">
      <c r="C29" s="10" t="s">
        <v>5</v>
      </c>
      <c r="D29" s="10" t="s">
        <v>4</v>
      </c>
      <c r="E29" s="10" t="s">
        <v>1</v>
      </c>
      <c r="F29" s="10" t="s">
        <v>3</v>
      </c>
      <c r="G29" s="11">
        <v>4</v>
      </c>
      <c r="H29" s="12">
        <v>39.42</v>
      </c>
      <c r="I29" s="12">
        <v>7.58</v>
      </c>
    </row>
    <row r="30" spans="3:9" x14ac:dyDescent="0.25">
      <c r="C30" s="10" t="s">
        <v>5</v>
      </c>
      <c r="D30" s="10" t="s">
        <v>4</v>
      </c>
      <c r="E30" s="10" t="s">
        <v>1</v>
      </c>
      <c r="F30" s="10" t="s">
        <v>3</v>
      </c>
      <c r="G30" s="11">
        <v>2</v>
      </c>
      <c r="H30" s="12">
        <v>19.82</v>
      </c>
      <c r="I30" s="12">
        <v>3.18</v>
      </c>
    </row>
    <row r="31" spans="3:9" x14ac:dyDescent="0.25">
      <c r="C31" s="10" t="s">
        <v>5</v>
      </c>
      <c r="D31" s="10" t="s">
        <v>4</v>
      </c>
      <c r="E31" s="10" t="s">
        <v>1</v>
      </c>
      <c r="F31" s="10" t="s">
        <v>3</v>
      </c>
      <c r="G31" s="11">
        <v>4</v>
      </c>
      <c r="H31" s="12">
        <v>17.809999999999999</v>
      </c>
      <c r="I31" s="12">
        <v>2.34</v>
      </c>
    </row>
    <row r="32" spans="3:9" x14ac:dyDescent="0.25">
      <c r="C32" s="10" t="s">
        <v>5</v>
      </c>
      <c r="D32" s="10" t="s">
        <v>4</v>
      </c>
      <c r="E32" s="10" t="s">
        <v>1</v>
      </c>
      <c r="F32" s="10" t="s">
        <v>3</v>
      </c>
      <c r="G32" s="11">
        <v>2</v>
      </c>
      <c r="H32" s="12">
        <v>13.37</v>
      </c>
      <c r="I32" s="12">
        <v>2</v>
      </c>
    </row>
    <row r="33" spans="3:9" x14ac:dyDescent="0.25">
      <c r="C33" s="10" t="s">
        <v>5</v>
      </c>
      <c r="D33" s="10" t="s">
        <v>4</v>
      </c>
      <c r="E33" s="10" t="s">
        <v>1</v>
      </c>
      <c r="F33" s="10" t="s">
        <v>3</v>
      </c>
      <c r="G33" s="11">
        <v>2</v>
      </c>
      <c r="H33" s="12">
        <v>12.69</v>
      </c>
      <c r="I33" s="12">
        <v>2</v>
      </c>
    </row>
    <row r="34" spans="3:9" x14ac:dyDescent="0.25">
      <c r="C34" s="10" t="s">
        <v>5</v>
      </c>
      <c r="D34" s="10" t="s">
        <v>4</v>
      </c>
      <c r="E34" s="10" t="s">
        <v>1</v>
      </c>
      <c r="F34" s="10" t="s">
        <v>3</v>
      </c>
      <c r="G34" s="11">
        <v>2</v>
      </c>
      <c r="H34" s="12">
        <v>21.7</v>
      </c>
      <c r="I34" s="12">
        <v>4.3</v>
      </c>
    </row>
    <row r="35" spans="3:9" x14ac:dyDescent="0.25">
      <c r="C35" s="10" t="s">
        <v>5</v>
      </c>
      <c r="D35" s="10" t="s">
        <v>0</v>
      </c>
      <c r="E35" s="10" t="s">
        <v>1</v>
      </c>
      <c r="F35" s="10" t="s">
        <v>3</v>
      </c>
      <c r="G35" s="11">
        <v>2</v>
      </c>
      <c r="H35" s="12">
        <v>19.649999999999999</v>
      </c>
      <c r="I35" s="12">
        <v>3</v>
      </c>
    </row>
    <row r="36" spans="3:9" x14ac:dyDescent="0.25">
      <c r="C36" s="10" t="s">
        <v>5</v>
      </c>
      <c r="D36" s="10" t="s">
        <v>4</v>
      </c>
      <c r="E36" s="10" t="s">
        <v>1</v>
      </c>
      <c r="F36" s="10" t="s">
        <v>3</v>
      </c>
      <c r="G36" s="11">
        <v>2</v>
      </c>
      <c r="H36" s="12">
        <v>9.5500000000000007</v>
      </c>
      <c r="I36" s="12">
        <v>1.45</v>
      </c>
    </row>
    <row r="37" spans="3:9" x14ac:dyDescent="0.25">
      <c r="C37" s="10" t="s">
        <v>5</v>
      </c>
      <c r="D37" s="10" t="s">
        <v>4</v>
      </c>
      <c r="E37" s="10" t="s">
        <v>1</v>
      </c>
      <c r="F37" s="10" t="s">
        <v>3</v>
      </c>
      <c r="G37" s="11">
        <v>4</v>
      </c>
      <c r="H37" s="12">
        <v>18.350000000000001</v>
      </c>
      <c r="I37" s="12">
        <v>2.5</v>
      </c>
    </row>
    <row r="38" spans="3:9" x14ac:dyDescent="0.25">
      <c r="C38" s="10" t="s">
        <v>5</v>
      </c>
      <c r="D38" s="10" t="s">
        <v>0</v>
      </c>
      <c r="E38" s="10" t="s">
        <v>1</v>
      </c>
      <c r="F38" s="10" t="s">
        <v>3</v>
      </c>
      <c r="G38" s="11">
        <v>2</v>
      </c>
      <c r="H38" s="12">
        <v>15.06</v>
      </c>
      <c r="I38" s="12">
        <v>3</v>
      </c>
    </row>
    <row r="39" spans="3:9" x14ac:dyDescent="0.25">
      <c r="C39" s="10" t="s">
        <v>5</v>
      </c>
      <c r="D39" s="10" t="s">
        <v>0</v>
      </c>
      <c r="E39" s="10" t="s">
        <v>1</v>
      </c>
      <c r="F39" s="10" t="s">
        <v>3</v>
      </c>
      <c r="G39" s="11">
        <v>4</v>
      </c>
      <c r="H39" s="12">
        <v>20.69</v>
      </c>
      <c r="I39" s="12">
        <v>2.4500000000000002</v>
      </c>
    </row>
    <row r="40" spans="3:9" x14ac:dyDescent="0.25">
      <c r="C40" s="10" t="s">
        <v>5</v>
      </c>
      <c r="D40" s="10" t="s">
        <v>4</v>
      </c>
      <c r="E40" s="10" t="s">
        <v>1</v>
      </c>
      <c r="F40" s="10" t="s">
        <v>3</v>
      </c>
      <c r="G40" s="11">
        <v>2</v>
      </c>
      <c r="H40" s="12">
        <v>17.78</v>
      </c>
      <c r="I40" s="12">
        <v>3.27</v>
      </c>
    </row>
    <row r="41" spans="3:9" x14ac:dyDescent="0.25">
      <c r="C41" s="10" t="s">
        <v>5</v>
      </c>
      <c r="D41" s="10" t="s">
        <v>4</v>
      </c>
      <c r="E41" s="10" t="s">
        <v>1</v>
      </c>
      <c r="F41" s="10" t="s">
        <v>3</v>
      </c>
      <c r="G41" s="11">
        <v>3</v>
      </c>
      <c r="H41" s="12">
        <v>24.06</v>
      </c>
      <c r="I41" s="12">
        <v>3.6</v>
      </c>
    </row>
    <row r="42" spans="3:9" x14ac:dyDescent="0.25">
      <c r="C42" s="10" t="s">
        <v>5</v>
      </c>
      <c r="D42" s="10" t="s">
        <v>4</v>
      </c>
      <c r="E42" s="10" t="s">
        <v>1</v>
      </c>
      <c r="F42" s="10" t="s">
        <v>3</v>
      </c>
      <c r="G42" s="11">
        <v>3</v>
      </c>
      <c r="H42" s="12">
        <v>16.309999999999999</v>
      </c>
      <c r="I42" s="12">
        <v>2</v>
      </c>
    </row>
    <row r="43" spans="3:9" x14ac:dyDescent="0.25">
      <c r="C43" s="10" t="s">
        <v>5</v>
      </c>
      <c r="D43" s="10" t="s">
        <v>0</v>
      </c>
      <c r="E43" s="10" t="s">
        <v>1</v>
      </c>
      <c r="F43" s="10" t="s">
        <v>3</v>
      </c>
      <c r="G43" s="11">
        <v>3</v>
      </c>
      <c r="H43" s="12">
        <v>16.93</v>
      </c>
      <c r="I43" s="12">
        <v>3.07</v>
      </c>
    </row>
    <row r="44" spans="3:9" x14ac:dyDescent="0.25">
      <c r="C44" s="10" t="s">
        <v>5</v>
      </c>
      <c r="D44" s="10" t="s">
        <v>4</v>
      </c>
      <c r="E44" s="10" t="s">
        <v>1</v>
      </c>
      <c r="F44" s="10" t="s">
        <v>3</v>
      </c>
      <c r="G44" s="11">
        <v>3</v>
      </c>
      <c r="H44" s="12">
        <v>18.690000000000001</v>
      </c>
      <c r="I44" s="12">
        <v>2.31</v>
      </c>
    </row>
    <row r="45" spans="3:9" x14ac:dyDescent="0.25">
      <c r="C45" s="10" t="s">
        <v>5</v>
      </c>
      <c r="D45" s="10" t="s">
        <v>4</v>
      </c>
      <c r="E45" s="10" t="s">
        <v>1</v>
      </c>
      <c r="F45" s="10" t="s">
        <v>3</v>
      </c>
      <c r="G45" s="11">
        <v>3</v>
      </c>
      <c r="H45" s="12">
        <v>31.27</v>
      </c>
      <c r="I45" s="12">
        <v>5</v>
      </c>
    </row>
    <row r="46" spans="3:9" x14ac:dyDescent="0.25">
      <c r="C46" s="10" t="s">
        <v>5</v>
      </c>
      <c r="D46" s="10" t="s">
        <v>4</v>
      </c>
      <c r="E46" s="10" t="s">
        <v>1</v>
      </c>
      <c r="F46" s="10" t="s">
        <v>3</v>
      </c>
      <c r="G46" s="11">
        <v>3</v>
      </c>
      <c r="H46" s="12">
        <v>16.04</v>
      </c>
      <c r="I46" s="12">
        <v>2.2400000000000002</v>
      </c>
    </row>
    <row r="47" spans="3:9" x14ac:dyDescent="0.25">
      <c r="C47" s="10" t="s">
        <v>2</v>
      </c>
      <c r="D47" s="10" t="s">
        <v>4</v>
      </c>
      <c r="E47" s="10" t="s">
        <v>1</v>
      </c>
      <c r="F47" s="10" t="s">
        <v>3</v>
      </c>
      <c r="G47" s="11">
        <v>2</v>
      </c>
      <c r="H47" s="12">
        <v>17.46</v>
      </c>
      <c r="I47" s="12">
        <v>2.54</v>
      </c>
    </row>
    <row r="48" spans="3:9" x14ac:dyDescent="0.25">
      <c r="C48" s="10" t="s">
        <v>2</v>
      </c>
      <c r="D48" s="10" t="s">
        <v>4</v>
      </c>
      <c r="E48" s="10" t="s">
        <v>1</v>
      </c>
      <c r="F48" s="10" t="s">
        <v>3</v>
      </c>
      <c r="G48" s="11">
        <v>2</v>
      </c>
      <c r="H48" s="12">
        <v>13.94</v>
      </c>
      <c r="I48" s="12">
        <v>3.06</v>
      </c>
    </row>
    <row r="49" spans="3:9" x14ac:dyDescent="0.25">
      <c r="C49" s="10" t="s">
        <v>2</v>
      </c>
      <c r="D49" s="10" t="s">
        <v>4</v>
      </c>
      <c r="E49" s="10" t="s">
        <v>1</v>
      </c>
      <c r="F49" s="10" t="s">
        <v>3</v>
      </c>
      <c r="G49" s="11">
        <v>2</v>
      </c>
      <c r="H49" s="12">
        <v>9.68</v>
      </c>
      <c r="I49" s="12">
        <v>1.32</v>
      </c>
    </row>
    <row r="50" spans="3:9" x14ac:dyDescent="0.25">
      <c r="C50" s="10" t="s">
        <v>2</v>
      </c>
      <c r="D50" s="10" t="s">
        <v>4</v>
      </c>
      <c r="E50" s="10" t="s">
        <v>1</v>
      </c>
      <c r="F50" s="10" t="s">
        <v>3</v>
      </c>
      <c r="G50" s="11">
        <v>4</v>
      </c>
      <c r="H50" s="12">
        <v>30.4</v>
      </c>
      <c r="I50" s="12">
        <v>5.6</v>
      </c>
    </row>
    <row r="51" spans="3:9" x14ac:dyDescent="0.25">
      <c r="C51" s="10" t="s">
        <v>2</v>
      </c>
      <c r="D51" s="10" t="s">
        <v>4</v>
      </c>
      <c r="E51" s="10" t="s">
        <v>1</v>
      </c>
      <c r="F51" s="10" t="s">
        <v>3</v>
      </c>
      <c r="G51" s="11">
        <v>2</v>
      </c>
      <c r="H51" s="12">
        <v>18.29</v>
      </c>
      <c r="I51" s="12">
        <v>3</v>
      </c>
    </row>
    <row r="52" spans="3:9" x14ac:dyDescent="0.25">
      <c r="C52" s="10" t="s">
        <v>2</v>
      </c>
      <c r="D52" s="10" t="s">
        <v>4</v>
      </c>
      <c r="E52" s="10" t="s">
        <v>1</v>
      </c>
      <c r="F52" s="10" t="s">
        <v>3</v>
      </c>
      <c r="G52" s="11">
        <v>2</v>
      </c>
      <c r="H52" s="12">
        <v>22.23</v>
      </c>
      <c r="I52" s="12">
        <v>5</v>
      </c>
    </row>
    <row r="53" spans="3:9" x14ac:dyDescent="0.25">
      <c r="C53" s="10" t="s">
        <v>2</v>
      </c>
      <c r="D53" s="10" t="s">
        <v>4</v>
      </c>
      <c r="E53" s="10" t="s">
        <v>1</v>
      </c>
      <c r="F53" s="10" t="s">
        <v>3</v>
      </c>
      <c r="G53" s="11">
        <v>4</v>
      </c>
      <c r="H53" s="12">
        <v>32.4</v>
      </c>
      <c r="I53" s="12">
        <v>6</v>
      </c>
    </row>
    <row r="54" spans="3:9" x14ac:dyDescent="0.25">
      <c r="C54" s="10" t="s">
        <v>2</v>
      </c>
      <c r="D54" s="10" t="s">
        <v>4</v>
      </c>
      <c r="E54" s="10" t="s">
        <v>1</v>
      </c>
      <c r="F54" s="10" t="s">
        <v>3</v>
      </c>
      <c r="G54" s="11">
        <v>3</v>
      </c>
      <c r="H54" s="12">
        <v>28.55</v>
      </c>
      <c r="I54" s="12">
        <v>2.0499999999999998</v>
      </c>
    </row>
    <row r="55" spans="3:9" x14ac:dyDescent="0.25">
      <c r="C55" s="10" t="s">
        <v>2</v>
      </c>
      <c r="D55" s="10" t="s">
        <v>4</v>
      </c>
      <c r="E55" s="10" t="s">
        <v>1</v>
      </c>
      <c r="F55" s="10" t="s">
        <v>3</v>
      </c>
      <c r="G55" s="11">
        <v>2</v>
      </c>
      <c r="H55" s="12">
        <v>18.04</v>
      </c>
      <c r="I55" s="12">
        <v>3</v>
      </c>
    </row>
    <row r="56" spans="3:9" x14ac:dyDescent="0.25">
      <c r="C56" s="10" t="s">
        <v>2</v>
      </c>
      <c r="D56" s="10" t="s">
        <v>4</v>
      </c>
      <c r="E56" s="10" t="s">
        <v>1</v>
      </c>
      <c r="F56" s="10" t="s">
        <v>3</v>
      </c>
      <c r="G56" s="11">
        <v>2</v>
      </c>
      <c r="H56" s="12">
        <v>12.54</v>
      </c>
      <c r="I56" s="12">
        <v>2.5</v>
      </c>
    </row>
    <row r="57" spans="3:9" x14ac:dyDescent="0.25">
      <c r="C57" s="10" t="s">
        <v>2</v>
      </c>
      <c r="D57" s="10" t="s">
        <v>0</v>
      </c>
      <c r="E57" s="10" t="s">
        <v>1</v>
      </c>
      <c r="F57" s="10" t="s">
        <v>3</v>
      </c>
      <c r="G57" s="11">
        <v>2</v>
      </c>
      <c r="H57" s="12">
        <v>10.29</v>
      </c>
      <c r="I57" s="12">
        <v>2.6</v>
      </c>
    </row>
    <row r="58" spans="3:9" x14ac:dyDescent="0.25">
      <c r="C58" s="10" t="s">
        <v>2</v>
      </c>
      <c r="D58" s="10" t="s">
        <v>0</v>
      </c>
      <c r="E58" s="10" t="s">
        <v>1</v>
      </c>
      <c r="F58" s="10" t="s">
        <v>3</v>
      </c>
      <c r="G58" s="11">
        <v>4</v>
      </c>
      <c r="H58" s="12">
        <v>34.81</v>
      </c>
      <c r="I58" s="12">
        <v>5.2</v>
      </c>
    </row>
    <row r="59" spans="3:9" x14ac:dyDescent="0.25">
      <c r="C59" s="10" t="s">
        <v>2</v>
      </c>
      <c r="D59" s="10" t="s">
        <v>4</v>
      </c>
      <c r="E59" s="10" t="s">
        <v>1</v>
      </c>
      <c r="F59" s="10" t="s">
        <v>3</v>
      </c>
      <c r="G59" s="11">
        <v>2</v>
      </c>
      <c r="H59" s="12">
        <v>9.94</v>
      </c>
      <c r="I59" s="12">
        <v>1.56</v>
      </c>
    </row>
    <row r="60" spans="3:9" x14ac:dyDescent="0.25">
      <c r="C60" s="10" t="s">
        <v>2</v>
      </c>
      <c r="D60" s="10" t="s">
        <v>4</v>
      </c>
      <c r="E60" s="10" t="s">
        <v>1</v>
      </c>
      <c r="F60" s="10" t="s">
        <v>3</v>
      </c>
      <c r="G60" s="11">
        <v>4</v>
      </c>
      <c r="H60" s="12">
        <v>25.56</v>
      </c>
      <c r="I60" s="12">
        <v>4.34</v>
      </c>
    </row>
    <row r="61" spans="3:9" x14ac:dyDescent="0.25">
      <c r="C61" s="10" t="s">
        <v>2</v>
      </c>
      <c r="D61" s="10" t="s">
        <v>4</v>
      </c>
      <c r="E61" s="10" t="s">
        <v>1</v>
      </c>
      <c r="F61" s="10" t="s">
        <v>3</v>
      </c>
      <c r="G61" s="11">
        <v>2</v>
      </c>
      <c r="H61" s="12">
        <v>19.489999999999998</v>
      </c>
      <c r="I61" s="12">
        <v>3.51</v>
      </c>
    </row>
    <row r="62" spans="3:9" x14ac:dyDescent="0.25">
      <c r="C62" s="10" t="s">
        <v>5</v>
      </c>
      <c r="D62" s="10" t="s">
        <v>4</v>
      </c>
      <c r="E62" s="10" t="s">
        <v>6</v>
      </c>
      <c r="F62" s="10" t="s">
        <v>3</v>
      </c>
      <c r="G62" s="11">
        <v>4</v>
      </c>
      <c r="H62" s="12">
        <v>38.01</v>
      </c>
      <c r="I62" s="12">
        <v>3</v>
      </c>
    </row>
    <row r="63" spans="3:9" x14ac:dyDescent="0.25">
      <c r="C63" s="10" t="s">
        <v>5</v>
      </c>
      <c r="D63" s="10" t="s">
        <v>0</v>
      </c>
      <c r="E63" s="10" t="s">
        <v>1</v>
      </c>
      <c r="F63" s="10" t="s">
        <v>3</v>
      </c>
      <c r="G63" s="11">
        <v>2</v>
      </c>
      <c r="H63" s="12">
        <v>26.41</v>
      </c>
      <c r="I63" s="12">
        <v>1.5</v>
      </c>
    </row>
    <row r="64" spans="3:9" x14ac:dyDescent="0.25">
      <c r="C64" s="10" t="s">
        <v>5</v>
      </c>
      <c r="D64" s="10" t="s">
        <v>4</v>
      </c>
      <c r="E64" s="10" t="s">
        <v>6</v>
      </c>
      <c r="F64" s="10" t="s">
        <v>3</v>
      </c>
      <c r="G64" s="11">
        <v>2</v>
      </c>
      <c r="H64" s="12">
        <v>11.24</v>
      </c>
      <c r="I64" s="12">
        <v>1.76</v>
      </c>
    </row>
    <row r="65" spans="3:9" x14ac:dyDescent="0.25">
      <c r="C65" s="10" t="s">
        <v>5</v>
      </c>
      <c r="D65" s="10" t="s">
        <v>4</v>
      </c>
      <c r="E65" s="10" t="s">
        <v>1</v>
      </c>
      <c r="F65" s="10" t="s">
        <v>3</v>
      </c>
      <c r="G65" s="11">
        <v>4</v>
      </c>
      <c r="H65" s="12">
        <v>48.27</v>
      </c>
      <c r="I65" s="12">
        <v>6.73</v>
      </c>
    </row>
    <row r="66" spans="3:9" x14ac:dyDescent="0.25">
      <c r="C66" s="10" t="s">
        <v>5</v>
      </c>
      <c r="D66" s="10" t="s">
        <v>4</v>
      </c>
      <c r="E66" s="10" t="s">
        <v>6</v>
      </c>
      <c r="F66" s="10" t="s">
        <v>3</v>
      </c>
      <c r="G66" s="11">
        <v>2</v>
      </c>
      <c r="H66" s="12">
        <v>20.29</v>
      </c>
      <c r="I66" s="12">
        <v>3.21</v>
      </c>
    </row>
    <row r="67" spans="3:9" x14ac:dyDescent="0.25">
      <c r="C67" s="10" t="s">
        <v>5</v>
      </c>
      <c r="D67" s="10" t="s">
        <v>4</v>
      </c>
      <c r="E67" s="10" t="s">
        <v>6</v>
      </c>
      <c r="F67" s="10" t="s">
        <v>3</v>
      </c>
      <c r="G67" s="11">
        <v>2</v>
      </c>
      <c r="H67" s="12">
        <v>13.81</v>
      </c>
      <c r="I67" s="12">
        <v>2</v>
      </c>
    </row>
    <row r="68" spans="3:9" x14ac:dyDescent="0.25">
      <c r="C68" s="10" t="s">
        <v>5</v>
      </c>
      <c r="D68" s="10" t="s">
        <v>4</v>
      </c>
      <c r="E68" s="10" t="s">
        <v>6</v>
      </c>
      <c r="F68" s="10" t="s">
        <v>3</v>
      </c>
      <c r="G68" s="11">
        <v>2</v>
      </c>
      <c r="H68" s="12">
        <v>11.02</v>
      </c>
      <c r="I68" s="12">
        <v>1.98</v>
      </c>
    </row>
    <row r="69" spans="3:9" x14ac:dyDescent="0.25">
      <c r="C69" s="10" t="s">
        <v>5</v>
      </c>
      <c r="D69" s="10" t="s">
        <v>4</v>
      </c>
      <c r="E69" s="10" t="s">
        <v>6</v>
      </c>
      <c r="F69" s="10" t="s">
        <v>3</v>
      </c>
      <c r="G69" s="11">
        <v>4</v>
      </c>
      <c r="H69" s="12">
        <v>18.29</v>
      </c>
      <c r="I69" s="12">
        <v>3.76</v>
      </c>
    </row>
    <row r="70" spans="3:9" x14ac:dyDescent="0.25">
      <c r="C70" s="10" t="s">
        <v>5</v>
      </c>
      <c r="D70" s="10" t="s">
        <v>4</v>
      </c>
      <c r="E70" s="10" t="s">
        <v>1</v>
      </c>
      <c r="F70" s="10" t="s">
        <v>3</v>
      </c>
      <c r="G70" s="11">
        <v>3</v>
      </c>
      <c r="H70" s="12">
        <v>17.59</v>
      </c>
      <c r="I70" s="12">
        <v>2.64</v>
      </c>
    </row>
    <row r="71" spans="3:9" x14ac:dyDescent="0.25">
      <c r="C71" s="10" t="s">
        <v>5</v>
      </c>
      <c r="D71" s="10" t="s">
        <v>4</v>
      </c>
      <c r="E71" s="10" t="s">
        <v>1</v>
      </c>
      <c r="F71" s="10" t="s">
        <v>3</v>
      </c>
      <c r="G71" s="11">
        <v>3</v>
      </c>
      <c r="H71" s="12">
        <v>20.079999999999998</v>
      </c>
      <c r="I71" s="12">
        <v>3.15</v>
      </c>
    </row>
    <row r="72" spans="3:9" x14ac:dyDescent="0.25">
      <c r="C72" s="10" t="s">
        <v>5</v>
      </c>
      <c r="D72" s="10" t="s">
        <v>0</v>
      </c>
      <c r="E72" s="10" t="s">
        <v>1</v>
      </c>
      <c r="F72" s="10" t="s">
        <v>3</v>
      </c>
      <c r="G72" s="11">
        <v>2</v>
      </c>
      <c r="H72" s="12">
        <v>16.45</v>
      </c>
      <c r="I72" s="12">
        <v>2.4700000000000002</v>
      </c>
    </row>
    <row r="73" spans="3:9" x14ac:dyDescent="0.25">
      <c r="C73" s="10" t="s">
        <v>5</v>
      </c>
      <c r="D73" s="10" t="s">
        <v>0</v>
      </c>
      <c r="E73" s="10" t="s">
        <v>6</v>
      </c>
      <c r="F73" s="10" t="s">
        <v>3</v>
      </c>
      <c r="G73" s="11">
        <v>1</v>
      </c>
      <c r="H73" s="12">
        <v>3.07</v>
      </c>
      <c r="I73" s="12">
        <v>1</v>
      </c>
    </row>
    <row r="74" spans="3:9" x14ac:dyDescent="0.25">
      <c r="C74" s="10" t="s">
        <v>5</v>
      </c>
      <c r="D74" s="10" t="s">
        <v>4</v>
      </c>
      <c r="E74" s="10" t="s">
        <v>1</v>
      </c>
      <c r="F74" s="10" t="s">
        <v>3</v>
      </c>
      <c r="G74" s="11">
        <v>2</v>
      </c>
      <c r="H74" s="12">
        <v>20.23</v>
      </c>
      <c r="I74" s="12">
        <v>2.0099999999999998</v>
      </c>
    </row>
    <row r="75" spans="3:9" x14ac:dyDescent="0.25">
      <c r="C75" s="10" t="s">
        <v>5</v>
      </c>
      <c r="D75" s="10" t="s">
        <v>4</v>
      </c>
      <c r="E75" s="10" t="s">
        <v>6</v>
      </c>
      <c r="F75" s="10" t="s">
        <v>3</v>
      </c>
      <c r="G75" s="11">
        <v>2</v>
      </c>
      <c r="H75" s="12">
        <v>15.01</v>
      </c>
      <c r="I75" s="12">
        <v>2.09</v>
      </c>
    </row>
    <row r="76" spans="3:9" x14ac:dyDescent="0.25">
      <c r="C76" s="10" t="s">
        <v>5</v>
      </c>
      <c r="D76" s="10" t="s">
        <v>4</v>
      </c>
      <c r="E76" s="10" t="s">
        <v>1</v>
      </c>
      <c r="F76" s="10" t="s">
        <v>3</v>
      </c>
      <c r="G76" s="11">
        <v>2</v>
      </c>
      <c r="H76" s="12">
        <v>12.02</v>
      </c>
      <c r="I76" s="12">
        <v>1.97</v>
      </c>
    </row>
    <row r="77" spans="3:9" x14ac:dyDescent="0.25">
      <c r="C77" s="10" t="s">
        <v>5</v>
      </c>
      <c r="D77" s="10" t="s">
        <v>0</v>
      </c>
      <c r="E77" s="10" t="s">
        <v>1</v>
      </c>
      <c r="F77" s="10" t="s">
        <v>3</v>
      </c>
      <c r="G77" s="11">
        <v>3</v>
      </c>
      <c r="H77" s="12">
        <v>17.07</v>
      </c>
      <c r="I77" s="12">
        <v>3</v>
      </c>
    </row>
    <row r="78" spans="3:9" x14ac:dyDescent="0.25">
      <c r="C78" s="10" t="s">
        <v>5</v>
      </c>
      <c r="D78" s="10" t="s">
        <v>0</v>
      </c>
      <c r="E78" s="10" t="s">
        <v>6</v>
      </c>
      <c r="F78" s="10" t="s">
        <v>3</v>
      </c>
      <c r="G78" s="11">
        <v>2</v>
      </c>
      <c r="H78" s="12">
        <v>26.86</v>
      </c>
      <c r="I78" s="12">
        <v>3.14</v>
      </c>
    </row>
    <row r="79" spans="3:9" x14ac:dyDescent="0.25">
      <c r="C79" s="10" t="s">
        <v>5</v>
      </c>
      <c r="D79" s="10" t="s">
        <v>0</v>
      </c>
      <c r="E79" s="10" t="s">
        <v>6</v>
      </c>
      <c r="F79" s="10" t="s">
        <v>3</v>
      </c>
      <c r="G79" s="11">
        <v>2</v>
      </c>
      <c r="H79" s="12">
        <v>25.28</v>
      </c>
      <c r="I79" s="12">
        <v>5</v>
      </c>
    </row>
    <row r="80" spans="3:9" x14ac:dyDescent="0.25">
      <c r="C80" s="10" t="s">
        <v>5</v>
      </c>
      <c r="D80" s="10" t="s">
        <v>0</v>
      </c>
      <c r="E80" s="10" t="s">
        <v>1</v>
      </c>
      <c r="F80" s="10" t="s">
        <v>3</v>
      </c>
      <c r="G80" s="11">
        <v>2</v>
      </c>
      <c r="H80" s="12">
        <v>14.73</v>
      </c>
      <c r="I80" s="12">
        <v>2.2000000000000002</v>
      </c>
    </row>
    <row r="81" spans="3:9" x14ac:dyDescent="0.25">
      <c r="C81" s="10" t="s">
        <v>5</v>
      </c>
      <c r="D81" s="10" t="s">
        <v>4</v>
      </c>
      <c r="E81" s="10" t="s">
        <v>1</v>
      </c>
      <c r="F81" s="10" t="s">
        <v>3</v>
      </c>
      <c r="G81" s="11">
        <v>2</v>
      </c>
      <c r="H81" s="12">
        <v>10.51</v>
      </c>
      <c r="I81" s="12">
        <v>1.25</v>
      </c>
    </row>
    <row r="82" spans="3:9" x14ac:dyDescent="0.25">
      <c r="C82" s="10" t="s">
        <v>5</v>
      </c>
      <c r="D82" s="10" t="s">
        <v>4</v>
      </c>
      <c r="E82" s="10" t="s">
        <v>6</v>
      </c>
      <c r="F82" s="10" t="s">
        <v>3</v>
      </c>
      <c r="G82" s="11">
        <v>2</v>
      </c>
      <c r="H82" s="12">
        <v>17.920000000000002</v>
      </c>
      <c r="I82" s="12">
        <v>3.08</v>
      </c>
    </row>
    <row r="83" spans="3:9" x14ac:dyDescent="0.25">
      <c r="C83" s="10" t="s">
        <v>17</v>
      </c>
      <c r="D83" s="10" t="s">
        <v>4</v>
      </c>
      <c r="E83" s="10" t="s">
        <v>1</v>
      </c>
      <c r="F83" s="10" t="s">
        <v>7</v>
      </c>
      <c r="G83" s="11">
        <v>4</v>
      </c>
      <c r="H83" s="12">
        <v>27.2</v>
      </c>
      <c r="I83" s="12">
        <v>4</v>
      </c>
    </row>
    <row r="84" spans="3:9" x14ac:dyDescent="0.25">
      <c r="C84" s="10" t="s">
        <v>17</v>
      </c>
      <c r="D84" s="10" t="s">
        <v>4</v>
      </c>
      <c r="E84" s="10" t="s">
        <v>1</v>
      </c>
      <c r="F84" s="10" t="s">
        <v>7</v>
      </c>
      <c r="G84" s="11">
        <v>2</v>
      </c>
      <c r="H84" s="12">
        <v>22.76</v>
      </c>
      <c r="I84" s="12">
        <v>3</v>
      </c>
    </row>
    <row r="85" spans="3:9" x14ac:dyDescent="0.25">
      <c r="C85" s="10" t="s">
        <v>17</v>
      </c>
      <c r="D85" s="10" t="s">
        <v>4</v>
      </c>
      <c r="E85" s="10" t="s">
        <v>1</v>
      </c>
      <c r="F85" s="10" t="s">
        <v>7</v>
      </c>
      <c r="G85" s="11">
        <v>2</v>
      </c>
      <c r="H85" s="12">
        <v>17.29</v>
      </c>
      <c r="I85" s="12">
        <v>2.71</v>
      </c>
    </row>
    <row r="86" spans="3:9" x14ac:dyDescent="0.25">
      <c r="C86" s="10" t="s">
        <v>17</v>
      </c>
      <c r="D86" s="10" t="s">
        <v>4</v>
      </c>
      <c r="E86" s="10" t="s">
        <v>6</v>
      </c>
      <c r="F86" s="10" t="s">
        <v>7</v>
      </c>
      <c r="G86" s="11">
        <v>2</v>
      </c>
      <c r="H86" s="12">
        <v>19.440000000000001</v>
      </c>
      <c r="I86" s="12">
        <v>3</v>
      </c>
    </row>
    <row r="87" spans="3:9" x14ac:dyDescent="0.25">
      <c r="C87" s="10" t="s">
        <v>17</v>
      </c>
      <c r="D87" s="10" t="s">
        <v>4</v>
      </c>
      <c r="E87" s="10" t="s">
        <v>1</v>
      </c>
      <c r="F87" s="10" t="s">
        <v>7</v>
      </c>
      <c r="G87" s="11">
        <v>2</v>
      </c>
      <c r="H87" s="12">
        <v>16.66</v>
      </c>
      <c r="I87" s="12">
        <v>3.4</v>
      </c>
    </row>
    <row r="88" spans="3:9" x14ac:dyDescent="0.25">
      <c r="C88" s="10" t="s">
        <v>17</v>
      </c>
      <c r="D88" s="10" t="s">
        <v>0</v>
      </c>
      <c r="E88" s="10" t="s">
        <v>1</v>
      </c>
      <c r="F88" s="10" t="s">
        <v>7</v>
      </c>
      <c r="G88" s="11">
        <v>1</v>
      </c>
      <c r="H88" s="12">
        <v>10.07</v>
      </c>
      <c r="I88" s="12">
        <v>1.83</v>
      </c>
    </row>
    <row r="89" spans="3:9" x14ac:dyDescent="0.25">
      <c r="C89" s="10" t="s">
        <v>17</v>
      </c>
      <c r="D89" s="10" t="s">
        <v>4</v>
      </c>
      <c r="E89" s="10" t="s">
        <v>6</v>
      </c>
      <c r="F89" s="10" t="s">
        <v>7</v>
      </c>
      <c r="G89" s="11">
        <v>2</v>
      </c>
      <c r="H89" s="12">
        <v>32.68</v>
      </c>
      <c r="I89" s="12">
        <v>5</v>
      </c>
    </row>
    <row r="90" spans="3:9" x14ac:dyDescent="0.25">
      <c r="C90" s="10" t="s">
        <v>17</v>
      </c>
      <c r="D90" s="10" t="s">
        <v>4</v>
      </c>
      <c r="E90" s="10" t="s">
        <v>1</v>
      </c>
      <c r="F90" s="10" t="s">
        <v>7</v>
      </c>
      <c r="G90" s="11">
        <v>2</v>
      </c>
      <c r="H90" s="12">
        <v>15.98</v>
      </c>
      <c r="I90" s="12">
        <v>2.0299999999999998</v>
      </c>
    </row>
    <row r="91" spans="3:9" x14ac:dyDescent="0.25">
      <c r="C91" s="10" t="s">
        <v>17</v>
      </c>
      <c r="D91" s="10" t="s">
        <v>0</v>
      </c>
      <c r="E91" s="10" t="s">
        <v>1</v>
      </c>
      <c r="F91" s="10" t="s">
        <v>7</v>
      </c>
      <c r="G91" s="11">
        <v>4</v>
      </c>
      <c r="H91" s="12">
        <v>34.83</v>
      </c>
      <c r="I91" s="12">
        <v>5.17</v>
      </c>
    </row>
    <row r="92" spans="3:9" x14ac:dyDescent="0.25">
      <c r="C92" s="10" t="s">
        <v>17</v>
      </c>
      <c r="D92" s="10" t="s">
        <v>4</v>
      </c>
      <c r="E92" s="10" t="s">
        <v>1</v>
      </c>
      <c r="F92" s="10" t="s">
        <v>7</v>
      </c>
      <c r="G92" s="11">
        <v>2</v>
      </c>
      <c r="H92" s="12">
        <v>13.03</v>
      </c>
      <c r="I92" s="12">
        <v>2</v>
      </c>
    </row>
    <row r="93" spans="3:9" x14ac:dyDescent="0.25">
      <c r="C93" s="10" t="s">
        <v>17</v>
      </c>
      <c r="D93" s="10" t="s">
        <v>4</v>
      </c>
      <c r="E93" s="10" t="s">
        <v>1</v>
      </c>
      <c r="F93" s="10" t="s">
        <v>7</v>
      </c>
      <c r="G93" s="11">
        <v>2</v>
      </c>
      <c r="H93" s="12">
        <v>18.28</v>
      </c>
      <c r="I93" s="12">
        <v>4</v>
      </c>
    </row>
    <row r="94" spans="3:9" x14ac:dyDescent="0.25">
      <c r="C94" s="10" t="s">
        <v>17</v>
      </c>
      <c r="D94" s="10" t="s">
        <v>4</v>
      </c>
      <c r="E94" s="10" t="s">
        <v>1</v>
      </c>
      <c r="F94" s="10" t="s">
        <v>7</v>
      </c>
      <c r="G94" s="11">
        <v>2</v>
      </c>
      <c r="H94" s="12">
        <v>24.71</v>
      </c>
      <c r="I94" s="12">
        <v>5.85</v>
      </c>
    </row>
    <row r="95" spans="3:9" x14ac:dyDescent="0.25">
      <c r="C95" s="10" t="s">
        <v>17</v>
      </c>
      <c r="D95" s="10" t="s">
        <v>4</v>
      </c>
      <c r="E95" s="10" t="s">
        <v>1</v>
      </c>
      <c r="F95" s="10" t="s">
        <v>7</v>
      </c>
      <c r="G95" s="11">
        <v>2</v>
      </c>
      <c r="H95" s="12">
        <v>21.16</v>
      </c>
      <c r="I95" s="12">
        <v>3</v>
      </c>
    </row>
    <row r="96" spans="3:9" x14ac:dyDescent="0.25">
      <c r="C96" s="10" t="s">
        <v>8</v>
      </c>
      <c r="D96" s="10" t="s">
        <v>4</v>
      </c>
      <c r="E96" s="10" t="s">
        <v>6</v>
      </c>
      <c r="F96" s="10" t="s">
        <v>3</v>
      </c>
      <c r="G96" s="11">
        <v>2</v>
      </c>
      <c r="H96" s="12">
        <v>28.97</v>
      </c>
      <c r="I96" s="12">
        <v>3</v>
      </c>
    </row>
    <row r="97" spans="3:9" x14ac:dyDescent="0.25">
      <c r="C97" s="10" t="s">
        <v>8</v>
      </c>
      <c r="D97" s="10" t="s">
        <v>4</v>
      </c>
      <c r="E97" s="10" t="s">
        <v>1</v>
      </c>
      <c r="F97" s="10" t="s">
        <v>3</v>
      </c>
      <c r="G97" s="11">
        <v>2</v>
      </c>
      <c r="H97" s="12">
        <v>22.49</v>
      </c>
      <c r="I97" s="12">
        <v>3.5</v>
      </c>
    </row>
    <row r="98" spans="3:9" x14ac:dyDescent="0.25">
      <c r="C98" s="10" t="s">
        <v>8</v>
      </c>
      <c r="D98" s="10" t="s">
        <v>0</v>
      </c>
      <c r="E98" s="10" t="s">
        <v>6</v>
      </c>
      <c r="F98" s="10" t="s">
        <v>3</v>
      </c>
      <c r="G98" s="11">
        <v>2</v>
      </c>
      <c r="H98" s="12">
        <v>5.75</v>
      </c>
      <c r="I98" s="12">
        <v>1</v>
      </c>
    </row>
    <row r="99" spans="3:9" x14ac:dyDescent="0.25">
      <c r="C99" s="10" t="s">
        <v>8</v>
      </c>
      <c r="D99" s="10" t="s">
        <v>0</v>
      </c>
      <c r="E99" s="10" t="s">
        <v>6</v>
      </c>
      <c r="F99" s="10" t="s">
        <v>3</v>
      </c>
      <c r="G99" s="11">
        <v>2</v>
      </c>
      <c r="H99" s="12">
        <v>16.32</v>
      </c>
      <c r="I99" s="12">
        <v>4.3</v>
      </c>
    </row>
    <row r="100" spans="3:9" x14ac:dyDescent="0.25">
      <c r="C100" s="10" t="s">
        <v>8</v>
      </c>
      <c r="D100" s="10" t="s">
        <v>0</v>
      </c>
      <c r="E100" s="10" t="s">
        <v>1</v>
      </c>
      <c r="F100" s="10" t="s">
        <v>3</v>
      </c>
      <c r="G100" s="11">
        <v>2</v>
      </c>
      <c r="H100" s="12">
        <v>22.75</v>
      </c>
      <c r="I100" s="12">
        <v>3.25</v>
      </c>
    </row>
    <row r="101" spans="3:9" x14ac:dyDescent="0.25">
      <c r="C101" s="10" t="s">
        <v>8</v>
      </c>
      <c r="D101" s="10" t="s">
        <v>4</v>
      </c>
      <c r="E101" s="10" t="s">
        <v>6</v>
      </c>
      <c r="F101" s="10" t="s">
        <v>3</v>
      </c>
      <c r="G101" s="11">
        <v>4</v>
      </c>
      <c r="H101" s="12">
        <v>40.17</v>
      </c>
      <c r="I101" s="12">
        <v>4.7300000000000004</v>
      </c>
    </row>
    <row r="102" spans="3:9" x14ac:dyDescent="0.25">
      <c r="C102" s="10" t="s">
        <v>8</v>
      </c>
      <c r="D102" s="10" t="s">
        <v>4</v>
      </c>
      <c r="E102" s="10" t="s">
        <v>6</v>
      </c>
      <c r="F102" s="10" t="s">
        <v>3</v>
      </c>
      <c r="G102" s="11">
        <v>2</v>
      </c>
      <c r="H102" s="12">
        <v>27.28</v>
      </c>
      <c r="I102" s="12">
        <v>4</v>
      </c>
    </row>
    <row r="103" spans="3:9" x14ac:dyDescent="0.25">
      <c r="C103" s="10" t="s">
        <v>8</v>
      </c>
      <c r="D103" s="10" t="s">
        <v>4</v>
      </c>
      <c r="E103" s="10" t="s">
        <v>6</v>
      </c>
      <c r="F103" s="10" t="s">
        <v>3</v>
      </c>
      <c r="G103" s="11">
        <v>2</v>
      </c>
      <c r="H103" s="12">
        <v>12.03</v>
      </c>
      <c r="I103" s="12">
        <v>1.5</v>
      </c>
    </row>
    <row r="104" spans="3:9" x14ac:dyDescent="0.25">
      <c r="C104" s="10" t="s">
        <v>8</v>
      </c>
      <c r="D104" s="10" t="s">
        <v>4</v>
      </c>
      <c r="E104" s="10" t="s">
        <v>6</v>
      </c>
      <c r="F104" s="10" t="s">
        <v>3</v>
      </c>
      <c r="G104" s="11">
        <v>2</v>
      </c>
      <c r="H104" s="12">
        <v>21.01</v>
      </c>
      <c r="I104" s="12">
        <v>3</v>
      </c>
    </row>
    <row r="105" spans="3:9" x14ac:dyDescent="0.25">
      <c r="C105" s="10" t="s">
        <v>8</v>
      </c>
      <c r="D105" s="10" t="s">
        <v>4</v>
      </c>
      <c r="E105" s="10" t="s">
        <v>1</v>
      </c>
      <c r="F105" s="10" t="s">
        <v>3</v>
      </c>
      <c r="G105" s="11">
        <v>2</v>
      </c>
      <c r="H105" s="12">
        <v>12.46</v>
      </c>
      <c r="I105" s="12">
        <v>1.5</v>
      </c>
    </row>
    <row r="106" spans="3:9" x14ac:dyDescent="0.25">
      <c r="C106" s="10" t="s">
        <v>8</v>
      </c>
      <c r="D106" s="10" t="s">
        <v>0</v>
      </c>
      <c r="E106" s="10" t="s">
        <v>6</v>
      </c>
      <c r="F106" s="10" t="s">
        <v>3</v>
      </c>
      <c r="G106" s="11">
        <v>2</v>
      </c>
      <c r="H106" s="12">
        <v>11.35</v>
      </c>
      <c r="I106" s="12">
        <v>2.5</v>
      </c>
    </row>
    <row r="107" spans="3:9" x14ac:dyDescent="0.25">
      <c r="C107" s="10" t="s">
        <v>8</v>
      </c>
      <c r="D107" s="10" t="s">
        <v>0</v>
      </c>
      <c r="E107" s="10" t="s">
        <v>6</v>
      </c>
      <c r="F107" s="10" t="s">
        <v>3</v>
      </c>
      <c r="G107" s="11">
        <v>2</v>
      </c>
      <c r="H107" s="12">
        <v>15.38</v>
      </c>
      <c r="I107" s="12">
        <v>3</v>
      </c>
    </row>
    <row r="108" spans="3:9" x14ac:dyDescent="0.25">
      <c r="C108" s="10" t="s">
        <v>5</v>
      </c>
      <c r="D108" s="10" t="s">
        <v>0</v>
      </c>
      <c r="E108" s="10" t="s">
        <v>6</v>
      </c>
      <c r="F108" s="10" t="s">
        <v>3</v>
      </c>
      <c r="G108" s="11">
        <v>3</v>
      </c>
      <c r="H108" s="12">
        <v>44.3</v>
      </c>
      <c r="I108" s="12">
        <v>2.5</v>
      </c>
    </row>
    <row r="109" spans="3:9" x14ac:dyDescent="0.25">
      <c r="C109" s="10" t="s">
        <v>5</v>
      </c>
      <c r="D109" s="10" t="s">
        <v>0</v>
      </c>
      <c r="E109" s="10" t="s">
        <v>6</v>
      </c>
      <c r="F109" s="10" t="s">
        <v>3</v>
      </c>
      <c r="G109" s="11">
        <v>2</v>
      </c>
      <c r="H109" s="12">
        <v>22.42</v>
      </c>
      <c r="I109" s="12">
        <v>3.48</v>
      </c>
    </row>
    <row r="110" spans="3:9" x14ac:dyDescent="0.25">
      <c r="C110" s="10" t="s">
        <v>5</v>
      </c>
      <c r="D110" s="10" t="s">
        <v>0</v>
      </c>
      <c r="E110" s="10" t="s">
        <v>1</v>
      </c>
      <c r="F110" s="10" t="s">
        <v>3</v>
      </c>
      <c r="G110" s="11">
        <v>2</v>
      </c>
      <c r="H110" s="12">
        <v>20.92</v>
      </c>
      <c r="I110" s="12">
        <v>4.08</v>
      </c>
    </row>
    <row r="111" spans="3:9" x14ac:dyDescent="0.25">
      <c r="C111" s="10" t="s">
        <v>5</v>
      </c>
      <c r="D111" s="10" t="s">
        <v>4</v>
      </c>
      <c r="E111" s="10" t="s">
        <v>6</v>
      </c>
      <c r="F111" s="10" t="s">
        <v>3</v>
      </c>
      <c r="G111" s="11">
        <v>2</v>
      </c>
      <c r="H111" s="12">
        <v>15.36</v>
      </c>
      <c r="I111" s="12">
        <v>1.64</v>
      </c>
    </row>
    <row r="112" spans="3:9" x14ac:dyDescent="0.25">
      <c r="C112" s="10" t="s">
        <v>5</v>
      </c>
      <c r="D112" s="10" t="s">
        <v>4</v>
      </c>
      <c r="E112" s="10" t="s">
        <v>6</v>
      </c>
      <c r="F112" s="10" t="s">
        <v>3</v>
      </c>
      <c r="G112" s="11">
        <v>2</v>
      </c>
      <c r="H112" s="12">
        <v>20.49</v>
      </c>
      <c r="I112" s="12">
        <v>4.0599999999999996</v>
      </c>
    </row>
    <row r="113" spans="3:9" x14ac:dyDescent="0.25">
      <c r="C113" s="10" t="s">
        <v>5</v>
      </c>
      <c r="D113" s="10" t="s">
        <v>4</v>
      </c>
      <c r="E113" s="10" t="s">
        <v>6</v>
      </c>
      <c r="F113" s="10" t="s">
        <v>3</v>
      </c>
      <c r="G113" s="11">
        <v>2</v>
      </c>
      <c r="H113" s="12">
        <v>25.21</v>
      </c>
      <c r="I113" s="12">
        <v>4.29</v>
      </c>
    </row>
    <row r="114" spans="3:9" x14ac:dyDescent="0.25">
      <c r="C114" s="10" t="s">
        <v>5</v>
      </c>
      <c r="D114" s="10" t="s">
        <v>4</v>
      </c>
      <c r="E114" s="10" t="s">
        <v>1</v>
      </c>
      <c r="F114" s="10" t="s">
        <v>3</v>
      </c>
      <c r="G114" s="11">
        <v>2</v>
      </c>
      <c r="H114" s="12">
        <v>18.239999999999998</v>
      </c>
      <c r="I114" s="12">
        <v>3.76</v>
      </c>
    </row>
    <row r="115" spans="3:9" x14ac:dyDescent="0.25">
      <c r="C115" s="10" t="s">
        <v>5</v>
      </c>
      <c r="D115" s="10" t="s">
        <v>0</v>
      </c>
      <c r="E115" s="10" t="s">
        <v>6</v>
      </c>
      <c r="F115" s="10" t="s">
        <v>3</v>
      </c>
      <c r="G115" s="11">
        <v>2</v>
      </c>
      <c r="H115" s="12">
        <v>14.31</v>
      </c>
      <c r="I115" s="12">
        <v>4</v>
      </c>
    </row>
    <row r="116" spans="3:9" x14ac:dyDescent="0.25">
      <c r="C116" s="10" t="s">
        <v>5</v>
      </c>
      <c r="D116" s="10" t="s">
        <v>4</v>
      </c>
      <c r="E116" s="10" t="s">
        <v>1</v>
      </c>
      <c r="F116" s="10" t="s">
        <v>3</v>
      </c>
      <c r="G116" s="11">
        <v>2</v>
      </c>
      <c r="H116" s="12">
        <v>14</v>
      </c>
      <c r="I116" s="12">
        <v>3</v>
      </c>
    </row>
    <row r="117" spans="3:9" x14ac:dyDescent="0.25">
      <c r="C117" s="10" t="s">
        <v>5</v>
      </c>
      <c r="D117" s="10" t="s">
        <v>0</v>
      </c>
      <c r="E117" s="10" t="s">
        <v>1</v>
      </c>
      <c r="F117" s="10" t="s">
        <v>3</v>
      </c>
      <c r="G117" s="11">
        <v>1</v>
      </c>
      <c r="H117" s="12">
        <v>7.25</v>
      </c>
      <c r="I117" s="12">
        <v>1</v>
      </c>
    </row>
    <row r="118" spans="3:9" x14ac:dyDescent="0.25">
      <c r="C118" s="10" t="s">
        <v>2</v>
      </c>
      <c r="D118" s="10" t="s">
        <v>4</v>
      </c>
      <c r="E118" s="10" t="s">
        <v>1</v>
      </c>
      <c r="F118" s="10" t="s">
        <v>3</v>
      </c>
      <c r="G118" s="11">
        <v>3</v>
      </c>
      <c r="H118" s="12">
        <v>38.07</v>
      </c>
      <c r="I118" s="12">
        <v>4</v>
      </c>
    </row>
    <row r="119" spans="3:9" x14ac:dyDescent="0.25">
      <c r="C119" s="10" t="s">
        <v>2</v>
      </c>
      <c r="D119" s="10" t="s">
        <v>4</v>
      </c>
      <c r="E119" s="10" t="s">
        <v>1</v>
      </c>
      <c r="F119" s="10" t="s">
        <v>3</v>
      </c>
      <c r="G119" s="11">
        <v>2</v>
      </c>
      <c r="H119" s="12">
        <v>23.95</v>
      </c>
      <c r="I119" s="12">
        <v>2.5499999999999998</v>
      </c>
    </row>
    <row r="120" spans="3:9" x14ac:dyDescent="0.25">
      <c r="C120" s="10" t="s">
        <v>2</v>
      </c>
      <c r="D120" s="10" t="s">
        <v>0</v>
      </c>
      <c r="E120" s="10" t="s">
        <v>1</v>
      </c>
      <c r="F120" s="10" t="s">
        <v>3</v>
      </c>
      <c r="G120" s="11">
        <v>3</v>
      </c>
      <c r="H120" s="12">
        <v>25.71</v>
      </c>
      <c r="I120" s="12">
        <v>4</v>
      </c>
    </row>
    <row r="121" spans="3:9" x14ac:dyDescent="0.25">
      <c r="C121" s="10" t="s">
        <v>2</v>
      </c>
      <c r="D121" s="10" t="s">
        <v>0</v>
      </c>
      <c r="E121" s="10" t="s">
        <v>1</v>
      </c>
      <c r="F121" s="10" t="s">
        <v>3</v>
      </c>
      <c r="G121" s="11">
        <v>2</v>
      </c>
      <c r="H121" s="12">
        <v>17.309999999999999</v>
      </c>
      <c r="I121" s="12">
        <v>3.5</v>
      </c>
    </row>
    <row r="122" spans="3:9" x14ac:dyDescent="0.25">
      <c r="C122" s="10" t="s">
        <v>2</v>
      </c>
      <c r="D122" s="10" t="s">
        <v>4</v>
      </c>
      <c r="E122" s="10" t="s">
        <v>1</v>
      </c>
      <c r="F122" s="10" t="s">
        <v>3</v>
      </c>
      <c r="G122" s="11">
        <v>4</v>
      </c>
      <c r="H122" s="12">
        <v>29.93</v>
      </c>
      <c r="I122" s="12">
        <v>5.07</v>
      </c>
    </row>
    <row r="123" spans="3:9" x14ac:dyDescent="0.25">
      <c r="C123" s="10" t="s">
        <v>17</v>
      </c>
      <c r="D123" s="10" t="s">
        <v>0</v>
      </c>
      <c r="E123" s="10" t="s">
        <v>1</v>
      </c>
      <c r="F123" s="10" t="s">
        <v>7</v>
      </c>
      <c r="G123" s="11">
        <v>2</v>
      </c>
      <c r="H123" s="12">
        <v>10.65</v>
      </c>
      <c r="I123" s="12">
        <v>1.5</v>
      </c>
    </row>
    <row r="124" spans="3:9" x14ac:dyDescent="0.25">
      <c r="C124" s="10" t="s">
        <v>17</v>
      </c>
      <c r="D124" s="10" t="s">
        <v>0</v>
      </c>
      <c r="E124" s="10" t="s">
        <v>1</v>
      </c>
      <c r="F124" s="10" t="s">
        <v>7</v>
      </c>
      <c r="G124" s="11">
        <v>2</v>
      </c>
      <c r="H124" s="12">
        <v>12.43</v>
      </c>
      <c r="I124" s="12">
        <v>1.8</v>
      </c>
    </row>
    <row r="125" spans="3:9" x14ac:dyDescent="0.25">
      <c r="C125" s="10" t="s">
        <v>17</v>
      </c>
      <c r="D125" s="10" t="s">
        <v>0</v>
      </c>
      <c r="E125" s="10" t="s">
        <v>1</v>
      </c>
      <c r="F125" s="10" t="s">
        <v>7</v>
      </c>
      <c r="G125" s="11">
        <v>4</v>
      </c>
      <c r="H125" s="12">
        <v>24.08</v>
      </c>
      <c r="I125" s="12">
        <v>2.92</v>
      </c>
    </row>
    <row r="126" spans="3:9" x14ac:dyDescent="0.25">
      <c r="C126" s="10" t="s">
        <v>17</v>
      </c>
      <c r="D126" s="10" t="s">
        <v>4</v>
      </c>
      <c r="E126" s="10" t="s">
        <v>1</v>
      </c>
      <c r="F126" s="10" t="s">
        <v>7</v>
      </c>
      <c r="G126" s="11">
        <v>2</v>
      </c>
      <c r="H126" s="12">
        <v>11.69</v>
      </c>
      <c r="I126" s="12">
        <v>2.31</v>
      </c>
    </row>
    <row r="127" spans="3:9" x14ac:dyDescent="0.25">
      <c r="C127" s="10" t="s">
        <v>17</v>
      </c>
      <c r="D127" s="10" t="s">
        <v>0</v>
      </c>
      <c r="E127" s="10" t="s">
        <v>1</v>
      </c>
      <c r="F127" s="10" t="s">
        <v>7</v>
      </c>
      <c r="G127" s="11">
        <v>2</v>
      </c>
      <c r="H127" s="12">
        <v>13.42</v>
      </c>
      <c r="I127" s="12">
        <v>1.68</v>
      </c>
    </row>
    <row r="128" spans="3:9" x14ac:dyDescent="0.25">
      <c r="C128" s="10" t="s">
        <v>17</v>
      </c>
      <c r="D128" s="10" t="s">
        <v>4</v>
      </c>
      <c r="E128" s="10" t="s">
        <v>1</v>
      </c>
      <c r="F128" s="10" t="s">
        <v>7</v>
      </c>
      <c r="G128" s="11">
        <v>2</v>
      </c>
      <c r="H128" s="12">
        <v>14.26</v>
      </c>
      <c r="I128" s="12">
        <v>2.5</v>
      </c>
    </row>
    <row r="129" spans="3:9" x14ac:dyDescent="0.25">
      <c r="C129" s="10" t="s">
        <v>17</v>
      </c>
      <c r="D129" s="10" t="s">
        <v>4</v>
      </c>
      <c r="E129" s="10" t="s">
        <v>1</v>
      </c>
      <c r="F129" s="10" t="s">
        <v>7</v>
      </c>
      <c r="G129" s="11">
        <v>2</v>
      </c>
      <c r="H129" s="12">
        <v>15.95</v>
      </c>
      <c r="I129" s="12">
        <v>2</v>
      </c>
    </row>
    <row r="130" spans="3:9" x14ac:dyDescent="0.25">
      <c r="C130" s="10" t="s">
        <v>17</v>
      </c>
      <c r="D130" s="10" t="s">
        <v>0</v>
      </c>
      <c r="E130" s="10" t="s">
        <v>1</v>
      </c>
      <c r="F130" s="10" t="s">
        <v>7</v>
      </c>
      <c r="G130" s="11">
        <v>2</v>
      </c>
      <c r="H130" s="12">
        <v>12.48</v>
      </c>
      <c r="I130" s="12">
        <v>2.52</v>
      </c>
    </row>
    <row r="131" spans="3:9" x14ac:dyDescent="0.25">
      <c r="C131" s="10" t="s">
        <v>17</v>
      </c>
      <c r="D131" s="10" t="s">
        <v>0</v>
      </c>
      <c r="E131" s="10" t="s">
        <v>1</v>
      </c>
      <c r="F131" s="10" t="s">
        <v>7</v>
      </c>
      <c r="G131" s="11">
        <v>6</v>
      </c>
      <c r="H131" s="12">
        <v>29.8</v>
      </c>
      <c r="I131" s="12">
        <v>4.2</v>
      </c>
    </row>
    <row r="132" spans="3:9" x14ac:dyDescent="0.25">
      <c r="C132" s="10" t="s">
        <v>17</v>
      </c>
      <c r="D132" s="10" t="s">
        <v>4</v>
      </c>
      <c r="E132" s="10" t="s">
        <v>1</v>
      </c>
      <c r="F132" s="10" t="s">
        <v>7</v>
      </c>
      <c r="G132" s="11">
        <v>2</v>
      </c>
      <c r="H132" s="12">
        <v>8.52</v>
      </c>
      <c r="I132" s="12">
        <v>1.48</v>
      </c>
    </row>
    <row r="133" spans="3:9" x14ac:dyDescent="0.25">
      <c r="C133" s="10" t="s">
        <v>17</v>
      </c>
      <c r="D133" s="10" t="s">
        <v>0</v>
      </c>
      <c r="E133" s="10" t="s">
        <v>1</v>
      </c>
      <c r="F133" s="10" t="s">
        <v>7</v>
      </c>
      <c r="G133" s="11">
        <v>2</v>
      </c>
      <c r="H133" s="12">
        <v>14.52</v>
      </c>
      <c r="I133" s="12">
        <v>2</v>
      </c>
    </row>
    <row r="134" spans="3:9" x14ac:dyDescent="0.25">
      <c r="C134" s="10" t="s">
        <v>17</v>
      </c>
      <c r="D134" s="10" t="s">
        <v>0</v>
      </c>
      <c r="E134" s="10" t="s">
        <v>1</v>
      </c>
      <c r="F134" s="10" t="s">
        <v>7</v>
      </c>
      <c r="G134" s="11">
        <v>2</v>
      </c>
      <c r="H134" s="12">
        <v>11.38</v>
      </c>
      <c r="I134" s="12">
        <v>2</v>
      </c>
    </row>
    <row r="135" spans="3:9" x14ac:dyDescent="0.25">
      <c r="C135" s="10" t="s">
        <v>17</v>
      </c>
      <c r="D135" s="10" t="s">
        <v>4</v>
      </c>
      <c r="E135" s="10" t="s">
        <v>1</v>
      </c>
      <c r="F135" s="10" t="s">
        <v>7</v>
      </c>
      <c r="G135" s="11">
        <v>3</v>
      </c>
      <c r="H135" s="12">
        <v>22.82</v>
      </c>
      <c r="I135" s="12">
        <v>2.1800000000000002</v>
      </c>
    </row>
    <row r="136" spans="3:9" x14ac:dyDescent="0.25">
      <c r="C136" s="10" t="s">
        <v>17</v>
      </c>
      <c r="D136" s="10" t="s">
        <v>4</v>
      </c>
      <c r="E136" s="10" t="s">
        <v>1</v>
      </c>
      <c r="F136" s="10" t="s">
        <v>7</v>
      </c>
      <c r="G136" s="11">
        <v>2</v>
      </c>
      <c r="H136" s="12">
        <v>19.079999999999998</v>
      </c>
      <c r="I136" s="12">
        <v>1.5</v>
      </c>
    </row>
    <row r="137" spans="3:9" x14ac:dyDescent="0.25">
      <c r="C137" s="10" t="s">
        <v>17</v>
      </c>
      <c r="D137" s="10" t="s">
        <v>0</v>
      </c>
      <c r="E137" s="10" t="s">
        <v>1</v>
      </c>
      <c r="F137" s="10" t="s">
        <v>7</v>
      </c>
      <c r="G137" s="11">
        <v>2</v>
      </c>
      <c r="H137" s="12">
        <v>20.27</v>
      </c>
      <c r="I137" s="12">
        <v>2.83</v>
      </c>
    </row>
    <row r="138" spans="3:9" x14ac:dyDescent="0.25">
      <c r="C138" s="10" t="s">
        <v>17</v>
      </c>
      <c r="D138" s="10" t="s">
        <v>0</v>
      </c>
      <c r="E138" s="10" t="s">
        <v>1</v>
      </c>
      <c r="F138" s="10" t="s">
        <v>7</v>
      </c>
      <c r="G138" s="11">
        <v>2</v>
      </c>
      <c r="H138" s="12">
        <v>11.17</v>
      </c>
      <c r="I138" s="12">
        <v>1.5</v>
      </c>
    </row>
    <row r="139" spans="3:9" x14ac:dyDescent="0.25">
      <c r="C139" s="10" t="s">
        <v>17</v>
      </c>
      <c r="D139" s="10" t="s">
        <v>0</v>
      </c>
      <c r="E139" s="10" t="s">
        <v>1</v>
      </c>
      <c r="F139" s="10" t="s">
        <v>7</v>
      </c>
      <c r="G139" s="11">
        <v>2</v>
      </c>
      <c r="H139" s="12">
        <v>12.26</v>
      </c>
      <c r="I139" s="12">
        <v>2</v>
      </c>
    </row>
    <row r="140" spans="3:9" x14ac:dyDescent="0.25">
      <c r="C140" s="10" t="s">
        <v>17</v>
      </c>
      <c r="D140" s="10" t="s">
        <v>0</v>
      </c>
      <c r="E140" s="10" t="s">
        <v>1</v>
      </c>
      <c r="F140" s="10" t="s">
        <v>7</v>
      </c>
      <c r="G140" s="11">
        <v>2</v>
      </c>
      <c r="H140" s="12">
        <v>18.260000000000002</v>
      </c>
      <c r="I140" s="12">
        <v>3.25</v>
      </c>
    </row>
    <row r="141" spans="3:9" x14ac:dyDescent="0.25">
      <c r="C141" s="10" t="s">
        <v>17</v>
      </c>
      <c r="D141" s="10" t="s">
        <v>0</v>
      </c>
      <c r="E141" s="10" t="s">
        <v>1</v>
      </c>
      <c r="F141" s="10" t="s">
        <v>7</v>
      </c>
      <c r="G141" s="11">
        <v>2</v>
      </c>
      <c r="H141" s="12">
        <v>8.51</v>
      </c>
      <c r="I141" s="12">
        <v>1.25</v>
      </c>
    </row>
    <row r="142" spans="3:9" x14ac:dyDescent="0.25">
      <c r="C142" s="10" t="s">
        <v>17</v>
      </c>
      <c r="D142" s="10" t="s">
        <v>0</v>
      </c>
      <c r="E142" s="10" t="s">
        <v>1</v>
      </c>
      <c r="F142" s="10" t="s">
        <v>7</v>
      </c>
      <c r="G142" s="11">
        <v>2</v>
      </c>
      <c r="H142" s="12">
        <v>10.33</v>
      </c>
      <c r="I142" s="12">
        <v>2</v>
      </c>
    </row>
    <row r="143" spans="3:9" x14ac:dyDescent="0.25">
      <c r="C143" s="10" t="s">
        <v>17</v>
      </c>
      <c r="D143" s="10" t="s">
        <v>0</v>
      </c>
      <c r="E143" s="10" t="s">
        <v>1</v>
      </c>
      <c r="F143" s="10" t="s">
        <v>7</v>
      </c>
      <c r="G143" s="11">
        <v>2</v>
      </c>
      <c r="H143" s="12">
        <v>14.15</v>
      </c>
      <c r="I143" s="12">
        <v>2</v>
      </c>
    </row>
    <row r="144" spans="3:9" x14ac:dyDescent="0.25">
      <c r="C144" s="10" t="s">
        <v>17</v>
      </c>
      <c r="D144" s="10" t="s">
        <v>4</v>
      </c>
      <c r="E144" s="10" t="s">
        <v>6</v>
      </c>
      <c r="F144" s="10" t="s">
        <v>7</v>
      </c>
      <c r="G144" s="11">
        <v>2</v>
      </c>
      <c r="H144" s="12">
        <v>16</v>
      </c>
      <c r="I144" s="12">
        <v>2</v>
      </c>
    </row>
    <row r="145" spans="3:9" x14ac:dyDescent="0.25">
      <c r="C145" s="10" t="s">
        <v>17</v>
      </c>
      <c r="D145" s="10" t="s">
        <v>0</v>
      </c>
      <c r="E145" s="10" t="s">
        <v>1</v>
      </c>
      <c r="F145" s="10" t="s">
        <v>7</v>
      </c>
      <c r="G145" s="11">
        <v>2</v>
      </c>
      <c r="H145" s="12">
        <v>13.16</v>
      </c>
      <c r="I145" s="12">
        <v>2.75</v>
      </c>
    </row>
    <row r="146" spans="3:9" x14ac:dyDescent="0.25">
      <c r="C146" s="10" t="s">
        <v>17</v>
      </c>
      <c r="D146" s="10" t="s">
        <v>0</v>
      </c>
      <c r="E146" s="10" t="s">
        <v>1</v>
      </c>
      <c r="F146" s="10" t="s">
        <v>7</v>
      </c>
      <c r="G146" s="11">
        <v>2</v>
      </c>
      <c r="H146" s="12">
        <v>17.47</v>
      </c>
      <c r="I146" s="12">
        <v>3.5</v>
      </c>
    </row>
    <row r="147" spans="3:9" x14ac:dyDescent="0.25">
      <c r="C147" s="10" t="s">
        <v>17</v>
      </c>
      <c r="D147" s="10" t="s">
        <v>4</v>
      </c>
      <c r="E147" s="10" t="s">
        <v>1</v>
      </c>
      <c r="F147" s="10" t="s">
        <v>7</v>
      </c>
      <c r="G147" s="11">
        <v>6</v>
      </c>
      <c r="H147" s="12">
        <v>34.299999999999997</v>
      </c>
      <c r="I147" s="12">
        <v>6.7</v>
      </c>
    </row>
    <row r="148" spans="3:9" x14ac:dyDescent="0.25">
      <c r="C148" s="10" t="s">
        <v>17</v>
      </c>
      <c r="D148" s="10" t="s">
        <v>4</v>
      </c>
      <c r="E148" s="10" t="s">
        <v>1</v>
      </c>
      <c r="F148" s="10" t="s">
        <v>7</v>
      </c>
      <c r="G148" s="11">
        <v>5</v>
      </c>
      <c r="H148" s="12">
        <v>41.19</v>
      </c>
      <c r="I148" s="12">
        <v>5</v>
      </c>
    </row>
    <row r="149" spans="3:9" x14ac:dyDescent="0.25">
      <c r="C149" s="10" t="s">
        <v>17</v>
      </c>
      <c r="D149" s="10" t="s">
        <v>0</v>
      </c>
      <c r="E149" s="10" t="s">
        <v>1</v>
      </c>
      <c r="F149" s="10" t="s">
        <v>7</v>
      </c>
      <c r="G149" s="11">
        <v>6</v>
      </c>
      <c r="H149" s="12">
        <v>27.05</v>
      </c>
      <c r="I149" s="12">
        <v>5</v>
      </c>
    </row>
    <row r="150" spans="3:9" x14ac:dyDescent="0.25">
      <c r="C150" s="10" t="s">
        <v>17</v>
      </c>
      <c r="D150" s="10" t="s">
        <v>0</v>
      </c>
      <c r="E150" s="10" t="s">
        <v>1</v>
      </c>
      <c r="F150" s="10" t="s">
        <v>7</v>
      </c>
      <c r="G150" s="11">
        <v>2</v>
      </c>
      <c r="H150" s="12">
        <v>16.43</v>
      </c>
      <c r="I150" s="12">
        <v>2.2999999999999998</v>
      </c>
    </row>
    <row r="151" spans="3:9" x14ac:dyDescent="0.25">
      <c r="C151" s="10" t="s">
        <v>17</v>
      </c>
      <c r="D151" s="10" t="s">
        <v>0</v>
      </c>
      <c r="E151" s="10" t="s">
        <v>1</v>
      </c>
      <c r="F151" s="10" t="s">
        <v>7</v>
      </c>
      <c r="G151" s="11">
        <v>2</v>
      </c>
      <c r="H151" s="12">
        <v>8.35</v>
      </c>
      <c r="I151" s="12">
        <v>1.5</v>
      </c>
    </row>
    <row r="152" spans="3:9" x14ac:dyDescent="0.25">
      <c r="C152" s="10" t="s">
        <v>17</v>
      </c>
      <c r="D152" s="10" t="s">
        <v>0</v>
      </c>
      <c r="E152" s="10" t="s">
        <v>1</v>
      </c>
      <c r="F152" s="10" t="s">
        <v>7</v>
      </c>
      <c r="G152" s="11">
        <v>3</v>
      </c>
      <c r="H152" s="12">
        <v>18.64</v>
      </c>
      <c r="I152" s="12">
        <v>1.36</v>
      </c>
    </row>
    <row r="153" spans="3:9" x14ac:dyDescent="0.25">
      <c r="C153" s="10" t="s">
        <v>17</v>
      </c>
      <c r="D153" s="10" t="s">
        <v>0</v>
      </c>
      <c r="E153" s="10" t="s">
        <v>1</v>
      </c>
      <c r="F153" s="10" t="s">
        <v>7</v>
      </c>
      <c r="G153" s="11">
        <v>2</v>
      </c>
      <c r="H153" s="12">
        <v>11.87</v>
      </c>
      <c r="I153" s="12">
        <v>1.63</v>
      </c>
    </row>
    <row r="154" spans="3:9" x14ac:dyDescent="0.25">
      <c r="C154" s="10" t="s">
        <v>17</v>
      </c>
      <c r="D154" s="10" t="s">
        <v>4</v>
      </c>
      <c r="E154" s="10" t="s">
        <v>1</v>
      </c>
      <c r="F154" s="10" t="s">
        <v>7</v>
      </c>
      <c r="G154" s="11">
        <v>2</v>
      </c>
      <c r="H154" s="12">
        <v>9.7799999999999994</v>
      </c>
      <c r="I154" s="12">
        <v>1.73</v>
      </c>
    </row>
    <row r="155" spans="3:9" x14ac:dyDescent="0.25">
      <c r="C155" s="10" t="s">
        <v>17</v>
      </c>
      <c r="D155" s="10" t="s">
        <v>4</v>
      </c>
      <c r="E155" s="10" t="s">
        <v>1</v>
      </c>
      <c r="F155" s="10" t="s">
        <v>7</v>
      </c>
      <c r="G155" s="11">
        <v>2</v>
      </c>
      <c r="H155" s="12">
        <v>7.51</v>
      </c>
      <c r="I155" s="12">
        <v>2</v>
      </c>
    </row>
    <row r="156" spans="3:9" x14ac:dyDescent="0.25">
      <c r="C156" s="10" t="s">
        <v>2</v>
      </c>
      <c r="D156" s="10" t="s">
        <v>4</v>
      </c>
      <c r="E156" s="10" t="s">
        <v>1</v>
      </c>
      <c r="F156" s="10" t="s">
        <v>3</v>
      </c>
      <c r="G156" s="11">
        <v>2</v>
      </c>
      <c r="H156" s="12">
        <v>14.07</v>
      </c>
      <c r="I156" s="12">
        <v>2.5</v>
      </c>
    </row>
    <row r="157" spans="3:9" x14ac:dyDescent="0.25">
      <c r="C157" s="10" t="s">
        <v>2</v>
      </c>
      <c r="D157" s="10" t="s">
        <v>4</v>
      </c>
      <c r="E157" s="10" t="s">
        <v>1</v>
      </c>
      <c r="F157" s="10" t="s">
        <v>3</v>
      </c>
      <c r="G157" s="11">
        <v>2</v>
      </c>
      <c r="H157" s="12">
        <v>13.13</v>
      </c>
      <c r="I157" s="12">
        <v>2</v>
      </c>
    </row>
    <row r="158" spans="3:9" x14ac:dyDescent="0.25">
      <c r="C158" s="10" t="s">
        <v>2</v>
      </c>
      <c r="D158" s="10" t="s">
        <v>4</v>
      </c>
      <c r="E158" s="10" t="s">
        <v>1</v>
      </c>
      <c r="F158" s="10" t="s">
        <v>3</v>
      </c>
      <c r="G158" s="11">
        <v>3</v>
      </c>
      <c r="H158" s="12">
        <v>17.260000000000002</v>
      </c>
      <c r="I158" s="12">
        <v>2.74</v>
      </c>
    </row>
    <row r="159" spans="3:9" x14ac:dyDescent="0.25">
      <c r="C159" s="10" t="s">
        <v>2</v>
      </c>
      <c r="D159" s="10" t="s">
        <v>4</v>
      </c>
      <c r="E159" s="10" t="s">
        <v>1</v>
      </c>
      <c r="F159" s="10" t="s">
        <v>3</v>
      </c>
      <c r="G159" s="11">
        <v>4</v>
      </c>
      <c r="H159" s="12">
        <v>24.55</v>
      </c>
      <c r="I159" s="12">
        <v>2</v>
      </c>
    </row>
    <row r="160" spans="3:9" x14ac:dyDescent="0.25">
      <c r="C160" s="10" t="s">
        <v>2</v>
      </c>
      <c r="D160" s="10" t="s">
        <v>4</v>
      </c>
      <c r="E160" s="10" t="s">
        <v>1</v>
      </c>
      <c r="F160" s="10" t="s">
        <v>3</v>
      </c>
      <c r="G160" s="11">
        <v>4</v>
      </c>
      <c r="H160" s="12">
        <v>19.77</v>
      </c>
      <c r="I160" s="12">
        <v>2</v>
      </c>
    </row>
    <row r="161" spans="3:9" x14ac:dyDescent="0.25">
      <c r="C161" s="10" t="s">
        <v>2</v>
      </c>
      <c r="D161" s="10" t="s">
        <v>0</v>
      </c>
      <c r="E161" s="10" t="s">
        <v>1</v>
      </c>
      <c r="F161" s="10" t="s">
        <v>3</v>
      </c>
      <c r="G161" s="11">
        <v>5</v>
      </c>
      <c r="H161" s="12">
        <v>29.85</v>
      </c>
      <c r="I161" s="12">
        <v>5.14</v>
      </c>
    </row>
    <row r="162" spans="3:9" x14ac:dyDescent="0.25">
      <c r="C162" s="10" t="s">
        <v>2</v>
      </c>
      <c r="D162" s="10" t="s">
        <v>4</v>
      </c>
      <c r="E162" s="10" t="s">
        <v>1</v>
      </c>
      <c r="F162" s="10" t="s">
        <v>3</v>
      </c>
      <c r="G162" s="11">
        <v>6</v>
      </c>
      <c r="H162" s="12">
        <v>48.17</v>
      </c>
      <c r="I162" s="12">
        <v>5</v>
      </c>
    </row>
    <row r="163" spans="3:9" x14ac:dyDescent="0.25">
      <c r="C163" s="10" t="s">
        <v>2</v>
      </c>
      <c r="D163" s="10" t="s">
        <v>0</v>
      </c>
      <c r="E163" s="10" t="s">
        <v>1</v>
      </c>
      <c r="F163" s="10" t="s">
        <v>3</v>
      </c>
      <c r="G163" s="11">
        <v>4</v>
      </c>
      <c r="H163" s="12">
        <v>25</v>
      </c>
      <c r="I163" s="12">
        <v>3.75</v>
      </c>
    </row>
    <row r="164" spans="3:9" x14ac:dyDescent="0.25">
      <c r="C164" s="10" t="s">
        <v>2</v>
      </c>
      <c r="D164" s="10" t="s">
        <v>0</v>
      </c>
      <c r="E164" s="10" t="s">
        <v>1</v>
      </c>
      <c r="F164" s="10" t="s">
        <v>3</v>
      </c>
      <c r="G164" s="11">
        <v>2</v>
      </c>
      <c r="H164" s="12">
        <v>13.39</v>
      </c>
      <c r="I164" s="12">
        <v>2.61</v>
      </c>
    </row>
    <row r="165" spans="3:9" x14ac:dyDescent="0.25">
      <c r="C165" s="10" t="s">
        <v>2</v>
      </c>
      <c r="D165" s="10" t="s">
        <v>4</v>
      </c>
      <c r="E165" s="10" t="s">
        <v>1</v>
      </c>
      <c r="F165" s="10" t="s">
        <v>3</v>
      </c>
      <c r="G165" s="11">
        <v>4</v>
      </c>
      <c r="H165" s="12">
        <v>16.489999999999998</v>
      </c>
      <c r="I165" s="12">
        <v>2</v>
      </c>
    </row>
    <row r="166" spans="3:9" x14ac:dyDescent="0.25">
      <c r="C166" s="10" t="s">
        <v>2</v>
      </c>
      <c r="D166" s="10" t="s">
        <v>4</v>
      </c>
      <c r="E166" s="10" t="s">
        <v>1</v>
      </c>
      <c r="F166" s="10" t="s">
        <v>3</v>
      </c>
      <c r="G166" s="11">
        <v>4</v>
      </c>
      <c r="H166" s="12">
        <v>21.5</v>
      </c>
      <c r="I166" s="12">
        <v>3.5</v>
      </c>
    </row>
    <row r="167" spans="3:9" x14ac:dyDescent="0.25">
      <c r="C167" s="10" t="s">
        <v>2</v>
      </c>
      <c r="D167" s="10" t="s">
        <v>4</v>
      </c>
      <c r="E167" s="10" t="s">
        <v>1</v>
      </c>
      <c r="F167" s="10" t="s">
        <v>3</v>
      </c>
      <c r="G167" s="11">
        <v>2</v>
      </c>
      <c r="H167" s="12">
        <v>12.66</v>
      </c>
      <c r="I167" s="12">
        <v>2.5</v>
      </c>
    </row>
    <row r="168" spans="3:9" x14ac:dyDescent="0.25">
      <c r="C168" s="10" t="s">
        <v>2</v>
      </c>
      <c r="D168" s="10" t="s">
        <v>0</v>
      </c>
      <c r="E168" s="10" t="s">
        <v>1</v>
      </c>
      <c r="F168" s="10" t="s">
        <v>3</v>
      </c>
      <c r="G168" s="11">
        <v>3</v>
      </c>
      <c r="H168" s="12">
        <v>16.21</v>
      </c>
      <c r="I168" s="12">
        <v>2</v>
      </c>
    </row>
    <row r="169" spans="3:9" x14ac:dyDescent="0.25">
      <c r="C169" s="10" t="s">
        <v>2</v>
      </c>
      <c r="D169" s="10" t="s">
        <v>4</v>
      </c>
      <c r="E169" s="10" t="s">
        <v>1</v>
      </c>
      <c r="F169" s="10" t="s">
        <v>3</v>
      </c>
      <c r="G169" s="11">
        <v>2</v>
      </c>
      <c r="H169" s="12">
        <v>13.81</v>
      </c>
      <c r="I169" s="12">
        <v>2</v>
      </c>
    </row>
    <row r="170" spans="3:9" x14ac:dyDescent="0.25">
      <c r="C170" s="10" t="s">
        <v>2</v>
      </c>
      <c r="D170" s="10" t="s">
        <v>0</v>
      </c>
      <c r="E170" s="10" t="s">
        <v>6</v>
      </c>
      <c r="F170" s="10" t="s">
        <v>3</v>
      </c>
      <c r="G170" s="11">
        <v>2</v>
      </c>
      <c r="H170" s="12">
        <v>17.510000000000002</v>
      </c>
      <c r="I170" s="12">
        <v>3</v>
      </c>
    </row>
    <row r="171" spans="3:9" x14ac:dyDescent="0.25">
      <c r="C171" s="10" t="s">
        <v>2</v>
      </c>
      <c r="D171" s="10" t="s">
        <v>4</v>
      </c>
      <c r="E171" s="10" t="s">
        <v>1</v>
      </c>
      <c r="F171" s="10" t="s">
        <v>3</v>
      </c>
      <c r="G171" s="11">
        <v>3</v>
      </c>
      <c r="H171" s="12">
        <v>24.52</v>
      </c>
      <c r="I171" s="12">
        <v>3.48</v>
      </c>
    </row>
    <row r="172" spans="3:9" x14ac:dyDescent="0.25">
      <c r="C172" s="10" t="s">
        <v>2</v>
      </c>
      <c r="D172" s="10" t="s">
        <v>4</v>
      </c>
      <c r="E172" s="10" t="s">
        <v>1</v>
      </c>
      <c r="F172" s="10" t="s">
        <v>3</v>
      </c>
      <c r="G172" s="11">
        <v>2</v>
      </c>
      <c r="H172" s="12">
        <v>20.76</v>
      </c>
      <c r="I172" s="12">
        <v>2.2400000000000002</v>
      </c>
    </row>
    <row r="173" spans="3:9" x14ac:dyDescent="0.25">
      <c r="C173" s="10" t="s">
        <v>2</v>
      </c>
      <c r="D173" s="10" t="s">
        <v>4</v>
      </c>
      <c r="E173" s="10" t="s">
        <v>1</v>
      </c>
      <c r="F173" s="10" t="s">
        <v>3</v>
      </c>
      <c r="G173" s="11">
        <v>4</v>
      </c>
      <c r="H173" s="12">
        <v>31.71</v>
      </c>
      <c r="I173" s="12">
        <v>4.5</v>
      </c>
    </row>
    <row r="174" spans="3:9" x14ac:dyDescent="0.25">
      <c r="C174" s="10" t="s">
        <v>5</v>
      </c>
      <c r="D174" s="10" t="s">
        <v>0</v>
      </c>
      <c r="E174" s="10" t="s">
        <v>6</v>
      </c>
      <c r="F174" s="10" t="s">
        <v>3</v>
      </c>
      <c r="G174" s="11">
        <v>2</v>
      </c>
      <c r="H174" s="12">
        <v>10.59</v>
      </c>
      <c r="I174" s="12">
        <v>1.61</v>
      </c>
    </row>
    <row r="175" spans="3:9" x14ac:dyDescent="0.25">
      <c r="C175" s="10" t="s">
        <v>5</v>
      </c>
      <c r="D175" s="10" t="s">
        <v>0</v>
      </c>
      <c r="E175" s="10" t="s">
        <v>6</v>
      </c>
      <c r="F175" s="10" t="s">
        <v>3</v>
      </c>
      <c r="G175" s="11">
        <v>2</v>
      </c>
      <c r="H175" s="12">
        <v>10.63</v>
      </c>
      <c r="I175" s="12">
        <v>2</v>
      </c>
    </row>
    <row r="176" spans="3:9" x14ac:dyDescent="0.25">
      <c r="C176" s="10" t="s">
        <v>5</v>
      </c>
      <c r="D176" s="10" t="s">
        <v>4</v>
      </c>
      <c r="E176" s="10" t="s">
        <v>6</v>
      </c>
      <c r="F176" s="10" t="s">
        <v>3</v>
      </c>
      <c r="G176" s="11">
        <v>3</v>
      </c>
      <c r="H176" s="12">
        <v>50.81</v>
      </c>
      <c r="I176" s="12">
        <v>10</v>
      </c>
    </row>
    <row r="177" spans="3:9" x14ac:dyDescent="0.25">
      <c r="C177" s="10" t="s">
        <v>5</v>
      </c>
      <c r="D177" s="10" t="s">
        <v>4</v>
      </c>
      <c r="E177" s="10" t="s">
        <v>6</v>
      </c>
      <c r="F177" s="10" t="s">
        <v>3</v>
      </c>
      <c r="G177" s="11">
        <v>2</v>
      </c>
      <c r="H177" s="12">
        <v>15.81</v>
      </c>
      <c r="I177" s="12">
        <v>3.16</v>
      </c>
    </row>
    <row r="178" spans="3:9" x14ac:dyDescent="0.25">
      <c r="C178" s="10" t="s">
        <v>2</v>
      </c>
      <c r="D178" s="10" t="s">
        <v>4</v>
      </c>
      <c r="E178" s="10" t="s">
        <v>6</v>
      </c>
      <c r="F178" s="10" t="s">
        <v>3</v>
      </c>
      <c r="G178" s="11">
        <v>2</v>
      </c>
      <c r="H178" s="12">
        <v>7.25</v>
      </c>
      <c r="I178" s="12">
        <v>5.15</v>
      </c>
    </row>
    <row r="179" spans="3:9" x14ac:dyDescent="0.25">
      <c r="C179" s="10" t="s">
        <v>2</v>
      </c>
      <c r="D179" s="10" t="s">
        <v>4</v>
      </c>
      <c r="E179" s="10" t="s">
        <v>6</v>
      </c>
      <c r="F179" s="10" t="s">
        <v>3</v>
      </c>
      <c r="G179" s="11">
        <v>2</v>
      </c>
      <c r="H179" s="12">
        <v>31.85</v>
      </c>
      <c r="I179" s="12">
        <v>3.18</v>
      </c>
    </row>
    <row r="180" spans="3:9" x14ac:dyDescent="0.25">
      <c r="C180" s="10" t="s">
        <v>2</v>
      </c>
      <c r="D180" s="10" t="s">
        <v>4</v>
      </c>
      <c r="E180" s="10" t="s">
        <v>6</v>
      </c>
      <c r="F180" s="10" t="s">
        <v>3</v>
      </c>
      <c r="G180" s="11">
        <v>2</v>
      </c>
      <c r="H180" s="12">
        <v>16.82</v>
      </c>
      <c r="I180" s="12">
        <v>4</v>
      </c>
    </row>
    <row r="181" spans="3:9" x14ac:dyDescent="0.25">
      <c r="C181" s="10" t="s">
        <v>2</v>
      </c>
      <c r="D181" s="10" t="s">
        <v>4</v>
      </c>
      <c r="E181" s="10" t="s">
        <v>6</v>
      </c>
      <c r="F181" s="10" t="s">
        <v>3</v>
      </c>
      <c r="G181" s="11">
        <v>2</v>
      </c>
      <c r="H181" s="12">
        <v>32.9</v>
      </c>
      <c r="I181" s="12">
        <v>3.11</v>
      </c>
    </row>
    <row r="182" spans="3:9" x14ac:dyDescent="0.25">
      <c r="C182" s="10" t="s">
        <v>2</v>
      </c>
      <c r="D182" s="10" t="s">
        <v>4</v>
      </c>
      <c r="E182" s="10" t="s">
        <v>6</v>
      </c>
      <c r="F182" s="10" t="s">
        <v>3</v>
      </c>
      <c r="G182" s="11">
        <v>2</v>
      </c>
      <c r="H182" s="12">
        <v>17.89</v>
      </c>
      <c r="I182" s="12">
        <v>2</v>
      </c>
    </row>
    <row r="183" spans="3:9" x14ac:dyDescent="0.25">
      <c r="C183" s="10" t="s">
        <v>2</v>
      </c>
      <c r="D183" s="10" t="s">
        <v>4</v>
      </c>
      <c r="E183" s="10" t="s">
        <v>6</v>
      </c>
      <c r="F183" s="10" t="s">
        <v>3</v>
      </c>
      <c r="G183" s="11">
        <v>2</v>
      </c>
      <c r="H183" s="12">
        <v>14.48</v>
      </c>
      <c r="I183" s="12">
        <v>2</v>
      </c>
    </row>
    <row r="184" spans="3:9" x14ac:dyDescent="0.25">
      <c r="C184" s="10" t="s">
        <v>2</v>
      </c>
      <c r="D184" s="10" t="s">
        <v>0</v>
      </c>
      <c r="E184" s="10" t="s">
        <v>6</v>
      </c>
      <c r="F184" s="10" t="s">
        <v>3</v>
      </c>
      <c r="G184" s="11">
        <v>2</v>
      </c>
      <c r="H184" s="12">
        <v>9.6</v>
      </c>
      <c r="I184" s="12">
        <v>4</v>
      </c>
    </row>
    <row r="185" spans="3:9" x14ac:dyDescent="0.25">
      <c r="C185" s="10" t="s">
        <v>2</v>
      </c>
      <c r="D185" s="10" t="s">
        <v>4</v>
      </c>
      <c r="E185" s="10" t="s">
        <v>6</v>
      </c>
      <c r="F185" s="10" t="s">
        <v>3</v>
      </c>
      <c r="G185" s="11">
        <v>2</v>
      </c>
      <c r="H185" s="12">
        <v>34.630000000000003</v>
      </c>
      <c r="I185" s="12">
        <v>3.55</v>
      </c>
    </row>
    <row r="186" spans="3:9" x14ac:dyDescent="0.25">
      <c r="C186" s="10" t="s">
        <v>2</v>
      </c>
      <c r="D186" s="10" t="s">
        <v>4</v>
      </c>
      <c r="E186" s="10" t="s">
        <v>6</v>
      </c>
      <c r="F186" s="10" t="s">
        <v>3</v>
      </c>
      <c r="G186" s="11">
        <v>4</v>
      </c>
      <c r="H186" s="12">
        <v>34.65</v>
      </c>
      <c r="I186" s="12">
        <v>3.68</v>
      </c>
    </row>
    <row r="187" spans="3:9" x14ac:dyDescent="0.25">
      <c r="C187" s="10" t="s">
        <v>2</v>
      </c>
      <c r="D187" s="10" t="s">
        <v>4</v>
      </c>
      <c r="E187" s="10" t="s">
        <v>6</v>
      </c>
      <c r="F187" s="10" t="s">
        <v>3</v>
      </c>
      <c r="G187" s="11">
        <v>2</v>
      </c>
      <c r="H187" s="12">
        <v>23.33</v>
      </c>
      <c r="I187" s="12">
        <v>5.65</v>
      </c>
    </row>
    <row r="188" spans="3:9" x14ac:dyDescent="0.25">
      <c r="C188" s="10" t="s">
        <v>2</v>
      </c>
      <c r="D188" s="10" t="s">
        <v>4</v>
      </c>
      <c r="E188" s="10" t="s">
        <v>6</v>
      </c>
      <c r="F188" s="10" t="s">
        <v>3</v>
      </c>
      <c r="G188" s="11">
        <v>3</v>
      </c>
      <c r="H188" s="12">
        <v>45.35</v>
      </c>
      <c r="I188" s="12">
        <v>3.5</v>
      </c>
    </row>
    <row r="189" spans="3:9" x14ac:dyDescent="0.25">
      <c r="C189" s="10" t="s">
        <v>2</v>
      </c>
      <c r="D189" s="10" t="s">
        <v>4</v>
      </c>
      <c r="E189" s="10" t="s">
        <v>6</v>
      </c>
      <c r="F189" s="10" t="s">
        <v>3</v>
      </c>
      <c r="G189" s="11">
        <v>4</v>
      </c>
      <c r="H189" s="12">
        <v>23.17</v>
      </c>
      <c r="I189" s="12">
        <v>6.5</v>
      </c>
    </row>
    <row r="190" spans="3:9" x14ac:dyDescent="0.25">
      <c r="C190" s="10" t="s">
        <v>2</v>
      </c>
      <c r="D190" s="10" t="s">
        <v>4</v>
      </c>
      <c r="E190" s="10" t="s">
        <v>6</v>
      </c>
      <c r="F190" s="10" t="s">
        <v>3</v>
      </c>
      <c r="G190" s="11">
        <v>2</v>
      </c>
      <c r="H190" s="12">
        <v>40.549999999999997</v>
      </c>
      <c r="I190" s="12">
        <v>3</v>
      </c>
    </row>
    <row r="191" spans="3:9" x14ac:dyDescent="0.25">
      <c r="C191" s="10" t="s">
        <v>2</v>
      </c>
      <c r="D191" s="10" t="s">
        <v>4</v>
      </c>
      <c r="E191" s="10" t="s">
        <v>1</v>
      </c>
      <c r="F191" s="10" t="s">
        <v>3</v>
      </c>
      <c r="G191" s="11">
        <v>5</v>
      </c>
      <c r="H191" s="12">
        <v>20.69</v>
      </c>
      <c r="I191" s="12">
        <v>5</v>
      </c>
    </row>
    <row r="192" spans="3:9" x14ac:dyDescent="0.25">
      <c r="C192" s="10" t="s">
        <v>2</v>
      </c>
      <c r="D192" s="10" t="s">
        <v>0</v>
      </c>
      <c r="E192" s="10" t="s">
        <v>6</v>
      </c>
      <c r="F192" s="10" t="s">
        <v>3</v>
      </c>
      <c r="G192" s="11">
        <v>3</v>
      </c>
      <c r="H192" s="12">
        <v>20.9</v>
      </c>
      <c r="I192" s="12">
        <v>3.5</v>
      </c>
    </row>
    <row r="193" spans="3:9" x14ac:dyDescent="0.25">
      <c r="C193" s="10" t="s">
        <v>2</v>
      </c>
      <c r="D193" s="10" t="s">
        <v>4</v>
      </c>
      <c r="E193" s="10" t="s">
        <v>6</v>
      </c>
      <c r="F193" s="10" t="s">
        <v>3</v>
      </c>
      <c r="G193" s="11">
        <v>5</v>
      </c>
      <c r="H193" s="12">
        <v>30.46</v>
      </c>
      <c r="I193" s="12">
        <v>2</v>
      </c>
    </row>
    <row r="194" spans="3:9" x14ac:dyDescent="0.25">
      <c r="C194" s="10" t="s">
        <v>2</v>
      </c>
      <c r="D194" s="10" t="s">
        <v>0</v>
      </c>
      <c r="E194" s="10" t="s">
        <v>6</v>
      </c>
      <c r="F194" s="10" t="s">
        <v>3</v>
      </c>
      <c r="G194" s="11">
        <v>3</v>
      </c>
      <c r="H194" s="12">
        <v>18.149999999999999</v>
      </c>
      <c r="I194" s="12">
        <v>3.5</v>
      </c>
    </row>
    <row r="195" spans="3:9" x14ac:dyDescent="0.25">
      <c r="C195" s="10" t="s">
        <v>2</v>
      </c>
      <c r="D195" s="10" t="s">
        <v>4</v>
      </c>
      <c r="E195" s="10" t="s">
        <v>6</v>
      </c>
      <c r="F195" s="10" t="s">
        <v>3</v>
      </c>
      <c r="G195" s="11">
        <v>3</v>
      </c>
      <c r="H195" s="12">
        <v>23.1</v>
      </c>
      <c r="I195" s="12">
        <v>4</v>
      </c>
    </row>
    <row r="196" spans="3:9" x14ac:dyDescent="0.25">
      <c r="C196" s="10" t="s">
        <v>2</v>
      </c>
      <c r="D196" s="10" t="s">
        <v>4</v>
      </c>
      <c r="E196" s="10" t="s">
        <v>6</v>
      </c>
      <c r="F196" s="10" t="s">
        <v>3</v>
      </c>
      <c r="G196" s="11">
        <v>2</v>
      </c>
      <c r="H196" s="12">
        <v>15.69</v>
      </c>
      <c r="I196" s="12">
        <v>1.5</v>
      </c>
    </row>
    <row r="197" spans="3:9" x14ac:dyDescent="0.25">
      <c r="C197" s="10" t="s">
        <v>17</v>
      </c>
      <c r="D197" s="10" t="s">
        <v>0</v>
      </c>
      <c r="E197" s="10" t="s">
        <v>6</v>
      </c>
      <c r="F197" s="10" t="s">
        <v>7</v>
      </c>
      <c r="G197" s="11">
        <v>2</v>
      </c>
      <c r="H197" s="12">
        <v>19.809999999999999</v>
      </c>
      <c r="I197" s="12">
        <v>4.1900000000000004</v>
      </c>
    </row>
    <row r="198" spans="3:9" x14ac:dyDescent="0.25">
      <c r="C198" s="10" t="s">
        <v>17</v>
      </c>
      <c r="D198" s="10" t="s">
        <v>4</v>
      </c>
      <c r="E198" s="10" t="s">
        <v>6</v>
      </c>
      <c r="F198" s="10" t="s">
        <v>7</v>
      </c>
      <c r="G198" s="11">
        <v>2</v>
      </c>
      <c r="H198" s="12">
        <v>28.44</v>
      </c>
      <c r="I198" s="12">
        <v>2.56</v>
      </c>
    </row>
    <row r="199" spans="3:9" x14ac:dyDescent="0.25">
      <c r="C199" s="10" t="s">
        <v>17</v>
      </c>
      <c r="D199" s="10" t="s">
        <v>4</v>
      </c>
      <c r="E199" s="10" t="s">
        <v>6</v>
      </c>
      <c r="F199" s="10" t="s">
        <v>7</v>
      </c>
      <c r="G199" s="11">
        <v>2</v>
      </c>
      <c r="H199" s="12">
        <v>15.48</v>
      </c>
      <c r="I199" s="12">
        <v>2.02</v>
      </c>
    </row>
    <row r="200" spans="3:9" x14ac:dyDescent="0.25">
      <c r="C200" s="10" t="s">
        <v>17</v>
      </c>
      <c r="D200" s="10" t="s">
        <v>4</v>
      </c>
      <c r="E200" s="10" t="s">
        <v>6</v>
      </c>
      <c r="F200" s="10" t="s">
        <v>7</v>
      </c>
      <c r="G200" s="11">
        <v>2</v>
      </c>
      <c r="H200" s="12">
        <v>16.579999999999998</v>
      </c>
      <c r="I200" s="12">
        <v>4</v>
      </c>
    </row>
    <row r="201" spans="3:9" x14ac:dyDescent="0.25">
      <c r="C201" s="10" t="s">
        <v>17</v>
      </c>
      <c r="D201" s="10" t="s">
        <v>4</v>
      </c>
      <c r="E201" s="10" t="s">
        <v>1</v>
      </c>
      <c r="F201" s="10" t="s">
        <v>7</v>
      </c>
      <c r="G201" s="11">
        <v>2</v>
      </c>
      <c r="H201" s="12">
        <v>7.56</v>
      </c>
      <c r="I201" s="12">
        <v>1.44</v>
      </c>
    </row>
    <row r="202" spans="3:9" x14ac:dyDescent="0.25">
      <c r="C202" s="10" t="s">
        <v>17</v>
      </c>
      <c r="D202" s="10" t="s">
        <v>4</v>
      </c>
      <c r="E202" s="10" t="s">
        <v>6</v>
      </c>
      <c r="F202" s="10" t="s">
        <v>7</v>
      </c>
      <c r="G202" s="11">
        <v>2</v>
      </c>
      <c r="H202" s="12">
        <v>10.34</v>
      </c>
      <c r="I202" s="12">
        <v>2</v>
      </c>
    </row>
    <row r="203" spans="3:9" x14ac:dyDescent="0.25">
      <c r="C203" s="10" t="s">
        <v>17</v>
      </c>
      <c r="D203" s="10" t="s">
        <v>0</v>
      </c>
      <c r="E203" s="10" t="s">
        <v>6</v>
      </c>
      <c r="F203" s="10" t="s">
        <v>7</v>
      </c>
      <c r="G203" s="11">
        <v>4</v>
      </c>
      <c r="H203" s="12">
        <v>43.11</v>
      </c>
      <c r="I203" s="12">
        <v>5</v>
      </c>
    </row>
    <row r="204" spans="3:9" x14ac:dyDescent="0.25">
      <c r="C204" s="10" t="s">
        <v>17</v>
      </c>
      <c r="D204" s="10" t="s">
        <v>0</v>
      </c>
      <c r="E204" s="10" t="s">
        <v>6</v>
      </c>
      <c r="F204" s="10" t="s">
        <v>7</v>
      </c>
      <c r="G204" s="11">
        <v>2</v>
      </c>
      <c r="H204" s="12">
        <v>13</v>
      </c>
      <c r="I204" s="12">
        <v>2</v>
      </c>
    </row>
    <row r="205" spans="3:9" x14ac:dyDescent="0.25">
      <c r="C205" s="10" t="s">
        <v>17</v>
      </c>
      <c r="D205" s="10" t="s">
        <v>4</v>
      </c>
      <c r="E205" s="10" t="s">
        <v>6</v>
      </c>
      <c r="F205" s="10" t="s">
        <v>7</v>
      </c>
      <c r="G205" s="11">
        <v>2</v>
      </c>
      <c r="H205" s="12">
        <v>13.51</v>
      </c>
      <c r="I205" s="12">
        <v>2</v>
      </c>
    </row>
    <row r="206" spans="3:9" x14ac:dyDescent="0.25">
      <c r="C206" s="10" t="s">
        <v>17</v>
      </c>
      <c r="D206" s="10" t="s">
        <v>4</v>
      </c>
      <c r="E206" s="10" t="s">
        <v>6</v>
      </c>
      <c r="F206" s="10" t="s">
        <v>7</v>
      </c>
      <c r="G206" s="11">
        <v>3</v>
      </c>
      <c r="H206" s="12">
        <v>18.71</v>
      </c>
      <c r="I206" s="12">
        <v>4</v>
      </c>
    </row>
    <row r="207" spans="3:9" x14ac:dyDescent="0.25">
      <c r="C207" s="10" t="s">
        <v>17</v>
      </c>
      <c r="D207" s="10" t="s">
        <v>0</v>
      </c>
      <c r="E207" s="10" t="s">
        <v>6</v>
      </c>
      <c r="F207" s="10" t="s">
        <v>7</v>
      </c>
      <c r="G207" s="11">
        <v>2</v>
      </c>
      <c r="H207" s="12">
        <v>12.74</v>
      </c>
      <c r="I207" s="12">
        <v>2.0099999999999998</v>
      </c>
    </row>
    <row r="208" spans="3:9" x14ac:dyDescent="0.25">
      <c r="C208" s="10" t="s">
        <v>17</v>
      </c>
      <c r="D208" s="10" t="s">
        <v>0</v>
      </c>
      <c r="E208" s="10" t="s">
        <v>6</v>
      </c>
      <c r="F208" s="10" t="s">
        <v>7</v>
      </c>
      <c r="G208" s="11">
        <v>2</v>
      </c>
      <c r="H208" s="12">
        <v>13</v>
      </c>
      <c r="I208" s="12">
        <v>2</v>
      </c>
    </row>
    <row r="209" spans="3:9" x14ac:dyDescent="0.25">
      <c r="C209" s="10" t="s">
        <v>17</v>
      </c>
      <c r="D209" s="10" t="s">
        <v>0</v>
      </c>
      <c r="E209" s="10" t="s">
        <v>6</v>
      </c>
      <c r="F209" s="10" t="s">
        <v>7</v>
      </c>
      <c r="G209" s="11">
        <v>2</v>
      </c>
      <c r="H209" s="12">
        <v>16.399999999999999</v>
      </c>
      <c r="I209" s="12">
        <v>2.5</v>
      </c>
    </row>
    <row r="210" spans="3:9" x14ac:dyDescent="0.25">
      <c r="C210" s="10" t="s">
        <v>17</v>
      </c>
      <c r="D210" s="10" t="s">
        <v>4</v>
      </c>
      <c r="E210" s="10" t="s">
        <v>6</v>
      </c>
      <c r="F210" s="10" t="s">
        <v>7</v>
      </c>
      <c r="G210" s="11">
        <v>4</v>
      </c>
      <c r="H210" s="12">
        <v>20.53</v>
      </c>
      <c r="I210" s="12">
        <v>4</v>
      </c>
    </row>
    <row r="211" spans="3:9" x14ac:dyDescent="0.25">
      <c r="C211" s="10" t="s">
        <v>17</v>
      </c>
      <c r="D211" s="10" t="s">
        <v>0</v>
      </c>
      <c r="E211" s="10" t="s">
        <v>6</v>
      </c>
      <c r="F211" s="10" t="s">
        <v>7</v>
      </c>
      <c r="G211" s="11">
        <v>3</v>
      </c>
      <c r="H211" s="12">
        <v>16.47</v>
      </c>
      <c r="I211" s="12">
        <v>3.23</v>
      </c>
    </row>
    <row r="212" spans="3:9" x14ac:dyDescent="0.25">
      <c r="C212" s="10" t="s">
        <v>5</v>
      </c>
      <c r="D212" s="10" t="s">
        <v>4</v>
      </c>
      <c r="E212" s="10" t="s">
        <v>6</v>
      </c>
      <c r="F212" s="10" t="s">
        <v>3</v>
      </c>
      <c r="G212" s="11">
        <v>3</v>
      </c>
      <c r="H212" s="12">
        <v>26.59</v>
      </c>
      <c r="I212" s="12">
        <v>3.41</v>
      </c>
    </row>
    <row r="213" spans="3:9" x14ac:dyDescent="0.25">
      <c r="C213" s="10" t="s">
        <v>5</v>
      </c>
      <c r="D213" s="10" t="s">
        <v>4</v>
      </c>
      <c r="E213" s="10" t="s">
        <v>6</v>
      </c>
      <c r="F213" s="10" t="s">
        <v>3</v>
      </c>
      <c r="G213" s="11">
        <v>4</v>
      </c>
      <c r="H213" s="12">
        <v>38.729999999999997</v>
      </c>
      <c r="I213" s="12">
        <v>3</v>
      </c>
    </row>
    <row r="214" spans="3:9" x14ac:dyDescent="0.25">
      <c r="C214" s="10" t="s">
        <v>5</v>
      </c>
      <c r="D214" s="10" t="s">
        <v>4</v>
      </c>
      <c r="E214" s="10" t="s">
        <v>6</v>
      </c>
      <c r="F214" s="10" t="s">
        <v>3</v>
      </c>
      <c r="G214" s="11">
        <v>2</v>
      </c>
      <c r="H214" s="12">
        <v>24.27</v>
      </c>
      <c r="I214" s="12">
        <v>2.0299999999999998</v>
      </c>
    </row>
    <row r="215" spans="3:9" x14ac:dyDescent="0.25">
      <c r="C215" s="10" t="s">
        <v>5</v>
      </c>
      <c r="D215" s="10" t="s">
        <v>0</v>
      </c>
      <c r="E215" s="10" t="s">
        <v>6</v>
      </c>
      <c r="F215" s="10" t="s">
        <v>3</v>
      </c>
      <c r="G215" s="11">
        <v>2</v>
      </c>
      <c r="H215" s="12">
        <v>12.76</v>
      </c>
      <c r="I215" s="12">
        <v>2.23</v>
      </c>
    </row>
    <row r="216" spans="3:9" x14ac:dyDescent="0.25">
      <c r="C216" s="10" t="s">
        <v>5</v>
      </c>
      <c r="D216" s="10" t="s">
        <v>4</v>
      </c>
      <c r="E216" s="10" t="s">
        <v>6</v>
      </c>
      <c r="F216" s="10" t="s">
        <v>3</v>
      </c>
      <c r="G216" s="11">
        <v>3</v>
      </c>
      <c r="H216" s="12">
        <v>30.06</v>
      </c>
      <c r="I216" s="12">
        <v>2</v>
      </c>
    </row>
    <row r="217" spans="3:9" x14ac:dyDescent="0.25">
      <c r="C217" s="10" t="s">
        <v>5</v>
      </c>
      <c r="D217" s="10" t="s">
        <v>4</v>
      </c>
      <c r="E217" s="10" t="s">
        <v>6</v>
      </c>
      <c r="F217" s="10" t="s">
        <v>3</v>
      </c>
      <c r="G217" s="11">
        <v>4</v>
      </c>
      <c r="H217" s="12">
        <v>25.89</v>
      </c>
      <c r="I217" s="12">
        <v>5.16</v>
      </c>
    </row>
    <row r="218" spans="3:9" x14ac:dyDescent="0.25">
      <c r="C218" s="10" t="s">
        <v>5</v>
      </c>
      <c r="D218" s="10" t="s">
        <v>4</v>
      </c>
      <c r="E218" s="10" t="s">
        <v>1</v>
      </c>
      <c r="F218" s="10" t="s">
        <v>3</v>
      </c>
      <c r="G218" s="11">
        <v>4</v>
      </c>
      <c r="H218" s="12">
        <v>48.33</v>
      </c>
      <c r="I218" s="12">
        <v>9</v>
      </c>
    </row>
    <row r="219" spans="3:9" x14ac:dyDescent="0.25">
      <c r="C219" s="10" t="s">
        <v>5</v>
      </c>
      <c r="D219" s="10" t="s">
        <v>0</v>
      </c>
      <c r="E219" s="10" t="s">
        <v>6</v>
      </c>
      <c r="F219" s="10" t="s">
        <v>3</v>
      </c>
      <c r="G219" s="11">
        <v>2</v>
      </c>
      <c r="H219" s="12">
        <v>13.27</v>
      </c>
      <c r="I219" s="12">
        <v>2.5</v>
      </c>
    </row>
    <row r="220" spans="3:9" x14ac:dyDescent="0.25">
      <c r="C220" s="10" t="s">
        <v>5</v>
      </c>
      <c r="D220" s="10" t="s">
        <v>0</v>
      </c>
      <c r="E220" s="10" t="s">
        <v>6</v>
      </c>
      <c r="F220" s="10" t="s">
        <v>3</v>
      </c>
      <c r="G220" s="11">
        <v>3</v>
      </c>
      <c r="H220" s="12">
        <v>28.17</v>
      </c>
      <c r="I220" s="12">
        <v>6.5</v>
      </c>
    </row>
    <row r="221" spans="3:9" x14ac:dyDescent="0.25">
      <c r="C221" s="10" t="s">
        <v>5</v>
      </c>
      <c r="D221" s="10" t="s">
        <v>0</v>
      </c>
      <c r="E221" s="10" t="s">
        <v>6</v>
      </c>
      <c r="F221" s="10" t="s">
        <v>3</v>
      </c>
      <c r="G221" s="11">
        <v>2</v>
      </c>
      <c r="H221" s="12">
        <v>12.9</v>
      </c>
      <c r="I221" s="12">
        <v>1.1000000000000001</v>
      </c>
    </row>
    <row r="222" spans="3:9" x14ac:dyDescent="0.25">
      <c r="C222" s="10" t="s">
        <v>5</v>
      </c>
      <c r="D222" s="10" t="s">
        <v>4</v>
      </c>
      <c r="E222" s="10" t="s">
        <v>6</v>
      </c>
      <c r="F222" s="10" t="s">
        <v>3</v>
      </c>
      <c r="G222" s="11">
        <v>5</v>
      </c>
      <c r="H222" s="12">
        <v>28.15</v>
      </c>
      <c r="I222" s="12">
        <v>3</v>
      </c>
    </row>
    <row r="223" spans="3:9" x14ac:dyDescent="0.25">
      <c r="C223" s="10" t="s">
        <v>5</v>
      </c>
      <c r="D223" s="10" t="s">
        <v>4</v>
      </c>
      <c r="E223" s="10" t="s">
        <v>6</v>
      </c>
      <c r="F223" s="10" t="s">
        <v>3</v>
      </c>
      <c r="G223" s="11">
        <v>2</v>
      </c>
      <c r="H223" s="12">
        <v>11.59</v>
      </c>
      <c r="I223" s="12">
        <v>1.5</v>
      </c>
    </row>
    <row r="224" spans="3:9" x14ac:dyDescent="0.25">
      <c r="C224" s="10" t="s">
        <v>5</v>
      </c>
      <c r="D224" s="10" t="s">
        <v>4</v>
      </c>
      <c r="E224" s="10" t="s">
        <v>6</v>
      </c>
      <c r="F224" s="10" t="s">
        <v>3</v>
      </c>
      <c r="G224" s="11">
        <v>2</v>
      </c>
      <c r="H224" s="12">
        <v>7.74</v>
      </c>
      <c r="I224" s="12">
        <v>1.44</v>
      </c>
    </row>
    <row r="225" spans="3:9" x14ac:dyDescent="0.25">
      <c r="C225" s="10" t="s">
        <v>5</v>
      </c>
      <c r="D225" s="10" t="s">
        <v>0</v>
      </c>
      <c r="E225" s="10" t="s">
        <v>6</v>
      </c>
      <c r="F225" s="10" t="s">
        <v>3</v>
      </c>
      <c r="G225" s="11">
        <v>4</v>
      </c>
      <c r="H225" s="12">
        <v>30.14</v>
      </c>
      <c r="I225" s="12">
        <v>3.09</v>
      </c>
    </row>
    <row r="226" spans="3:9" x14ac:dyDescent="0.25">
      <c r="C226" s="10" t="s">
        <v>8</v>
      </c>
      <c r="D226" s="10" t="s">
        <v>4</v>
      </c>
      <c r="E226" s="10" t="s">
        <v>6</v>
      </c>
      <c r="F226" s="10" t="s">
        <v>7</v>
      </c>
      <c r="G226" s="11">
        <v>2</v>
      </c>
      <c r="H226" s="12">
        <v>12.16</v>
      </c>
      <c r="I226" s="12">
        <v>2.2000000000000002</v>
      </c>
    </row>
    <row r="227" spans="3:9" x14ac:dyDescent="0.25">
      <c r="C227" s="10" t="s">
        <v>8</v>
      </c>
      <c r="D227" s="10" t="s">
        <v>0</v>
      </c>
      <c r="E227" s="10" t="s">
        <v>6</v>
      </c>
      <c r="F227" s="10" t="s">
        <v>7</v>
      </c>
      <c r="G227" s="11">
        <v>2</v>
      </c>
      <c r="H227" s="12">
        <v>13.42</v>
      </c>
      <c r="I227" s="12">
        <v>3.48</v>
      </c>
    </row>
    <row r="228" spans="3:9" x14ac:dyDescent="0.25">
      <c r="C228" s="10" t="s">
        <v>8</v>
      </c>
      <c r="D228" s="10" t="s">
        <v>4</v>
      </c>
      <c r="E228" s="10" t="s">
        <v>6</v>
      </c>
      <c r="F228" s="10" t="s">
        <v>7</v>
      </c>
      <c r="G228" s="11">
        <v>1</v>
      </c>
      <c r="H228" s="12">
        <v>8.58</v>
      </c>
      <c r="I228" s="12">
        <v>1.92</v>
      </c>
    </row>
    <row r="229" spans="3:9" x14ac:dyDescent="0.25">
      <c r="C229" s="10" t="s">
        <v>8</v>
      </c>
      <c r="D229" s="10" t="s">
        <v>0</v>
      </c>
      <c r="E229" s="10" t="s">
        <v>1</v>
      </c>
      <c r="F229" s="10" t="s">
        <v>7</v>
      </c>
      <c r="G229" s="11">
        <v>3</v>
      </c>
      <c r="H229" s="12">
        <v>15.98</v>
      </c>
      <c r="I229" s="12">
        <v>3</v>
      </c>
    </row>
    <row r="230" spans="3:9" x14ac:dyDescent="0.25">
      <c r="C230" s="10" t="s">
        <v>8</v>
      </c>
      <c r="D230" s="10" t="s">
        <v>4</v>
      </c>
      <c r="E230" s="10" t="s">
        <v>6</v>
      </c>
      <c r="F230" s="10" t="s">
        <v>7</v>
      </c>
      <c r="G230" s="11">
        <v>2</v>
      </c>
      <c r="H230" s="12">
        <v>13.42</v>
      </c>
      <c r="I230" s="12">
        <v>1.58</v>
      </c>
    </row>
    <row r="231" spans="3:9" x14ac:dyDescent="0.25">
      <c r="C231" s="10" t="s">
        <v>8</v>
      </c>
      <c r="D231" s="10" t="s">
        <v>0</v>
      </c>
      <c r="E231" s="10" t="s">
        <v>6</v>
      </c>
      <c r="F231" s="10" t="s">
        <v>7</v>
      </c>
      <c r="G231" s="11">
        <v>2</v>
      </c>
      <c r="H231" s="12">
        <v>16.27</v>
      </c>
      <c r="I231" s="12">
        <v>2.5</v>
      </c>
    </row>
    <row r="232" spans="3:9" x14ac:dyDescent="0.25">
      <c r="C232" s="10" t="s">
        <v>8</v>
      </c>
      <c r="D232" s="10" t="s">
        <v>0</v>
      </c>
      <c r="E232" s="10" t="s">
        <v>6</v>
      </c>
      <c r="F232" s="10" t="s">
        <v>7</v>
      </c>
      <c r="G232" s="11">
        <v>2</v>
      </c>
      <c r="H232" s="12">
        <v>10.09</v>
      </c>
      <c r="I232" s="12">
        <v>2</v>
      </c>
    </row>
    <row r="233" spans="3:9" x14ac:dyDescent="0.25">
      <c r="C233" s="10" t="s">
        <v>5</v>
      </c>
      <c r="D233" s="10" t="s">
        <v>4</v>
      </c>
      <c r="E233" s="10" t="s">
        <v>1</v>
      </c>
      <c r="F233" s="10" t="s">
        <v>3</v>
      </c>
      <c r="G233" s="11">
        <v>4</v>
      </c>
      <c r="H233" s="12">
        <v>20.45</v>
      </c>
      <c r="I233" s="12">
        <v>3</v>
      </c>
    </row>
    <row r="234" spans="3:9" x14ac:dyDescent="0.25">
      <c r="C234" s="10" t="s">
        <v>5</v>
      </c>
      <c r="D234" s="10" t="s">
        <v>4</v>
      </c>
      <c r="E234" s="10" t="s">
        <v>1</v>
      </c>
      <c r="F234" s="10" t="s">
        <v>3</v>
      </c>
      <c r="G234" s="11">
        <v>2</v>
      </c>
      <c r="H234" s="12">
        <v>13.28</v>
      </c>
      <c r="I234" s="12">
        <v>2.72</v>
      </c>
    </row>
    <row r="235" spans="3:9" x14ac:dyDescent="0.25">
      <c r="C235" s="10" t="s">
        <v>5</v>
      </c>
      <c r="D235" s="10" t="s">
        <v>0</v>
      </c>
      <c r="E235" s="10" t="s">
        <v>6</v>
      </c>
      <c r="F235" s="10" t="s">
        <v>3</v>
      </c>
      <c r="G235" s="11">
        <v>2</v>
      </c>
      <c r="H235" s="12">
        <v>22.12</v>
      </c>
      <c r="I235" s="12">
        <v>2.88</v>
      </c>
    </row>
    <row r="236" spans="3:9" x14ac:dyDescent="0.25">
      <c r="C236" s="10" t="s">
        <v>5</v>
      </c>
      <c r="D236" s="10" t="s">
        <v>4</v>
      </c>
      <c r="E236" s="10" t="s">
        <v>6</v>
      </c>
      <c r="F236" s="10" t="s">
        <v>3</v>
      </c>
      <c r="G236" s="11">
        <v>4</v>
      </c>
      <c r="H236" s="12">
        <v>24.01</v>
      </c>
      <c r="I236" s="12">
        <v>2</v>
      </c>
    </row>
    <row r="237" spans="3:9" x14ac:dyDescent="0.25">
      <c r="C237" s="10" t="s">
        <v>5</v>
      </c>
      <c r="D237" s="10" t="s">
        <v>4</v>
      </c>
      <c r="E237" s="10" t="s">
        <v>6</v>
      </c>
      <c r="F237" s="10" t="s">
        <v>3</v>
      </c>
      <c r="G237" s="11">
        <v>3</v>
      </c>
      <c r="H237" s="12">
        <v>15.69</v>
      </c>
      <c r="I237" s="12">
        <v>3</v>
      </c>
    </row>
    <row r="238" spans="3:9" x14ac:dyDescent="0.25">
      <c r="C238" s="10" t="s">
        <v>5</v>
      </c>
      <c r="D238" s="10" t="s">
        <v>4</v>
      </c>
      <c r="E238" s="10" t="s">
        <v>1</v>
      </c>
      <c r="F238" s="10" t="s">
        <v>3</v>
      </c>
      <c r="G238" s="11">
        <v>2</v>
      </c>
      <c r="H238" s="12">
        <v>11.61</v>
      </c>
      <c r="I238" s="12">
        <v>3.39</v>
      </c>
    </row>
    <row r="239" spans="3:9" x14ac:dyDescent="0.25">
      <c r="C239" s="10" t="s">
        <v>5</v>
      </c>
      <c r="D239" s="10" t="s">
        <v>4</v>
      </c>
      <c r="E239" s="10" t="s">
        <v>1</v>
      </c>
      <c r="F239" s="10" t="s">
        <v>3</v>
      </c>
      <c r="G239" s="11">
        <v>2</v>
      </c>
      <c r="H239" s="12">
        <v>10.77</v>
      </c>
      <c r="I239" s="12">
        <v>1.47</v>
      </c>
    </row>
    <row r="240" spans="3:9" x14ac:dyDescent="0.25">
      <c r="C240" s="10" t="s">
        <v>5</v>
      </c>
      <c r="D240" s="10" t="s">
        <v>4</v>
      </c>
      <c r="E240" s="10" t="s">
        <v>6</v>
      </c>
      <c r="F240" s="10" t="s">
        <v>3</v>
      </c>
      <c r="G240" s="11">
        <v>2</v>
      </c>
      <c r="H240" s="12">
        <v>15.53</v>
      </c>
      <c r="I240" s="12">
        <v>3</v>
      </c>
    </row>
    <row r="241" spans="3:9" x14ac:dyDescent="0.25">
      <c r="C241" s="10" t="s">
        <v>5</v>
      </c>
      <c r="D241" s="10" t="s">
        <v>4</v>
      </c>
      <c r="E241" s="10" t="s">
        <v>1</v>
      </c>
      <c r="F241" s="10" t="s">
        <v>3</v>
      </c>
      <c r="G241" s="11">
        <v>2</v>
      </c>
      <c r="H241" s="12">
        <v>10.07</v>
      </c>
      <c r="I241" s="12">
        <v>1.25</v>
      </c>
    </row>
    <row r="242" spans="3:9" x14ac:dyDescent="0.25">
      <c r="C242" s="10" t="s">
        <v>5</v>
      </c>
      <c r="D242" s="10" t="s">
        <v>4</v>
      </c>
      <c r="E242" s="10" t="s">
        <v>6</v>
      </c>
      <c r="F242" s="10" t="s">
        <v>3</v>
      </c>
      <c r="G242" s="11">
        <v>2</v>
      </c>
      <c r="H242" s="12">
        <v>12.6</v>
      </c>
      <c r="I242" s="12">
        <v>1</v>
      </c>
    </row>
    <row r="243" spans="3:9" x14ac:dyDescent="0.25">
      <c r="C243" s="10" t="s">
        <v>5</v>
      </c>
      <c r="D243" s="10" t="s">
        <v>4</v>
      </c>
      <c r="E243" s="10" t="s">
        <v>6</v>
      </c>
      <c r="F243" s="10" t="s">
        <v>3</v>
      </c>
      <c r="G243" s="11">
        <v>2</v>
      </c>
      <c r="H243" s="12">
        <v>32.83</v>
      </c>
      <c r="I243" s="12">
        <v>1.17</v>
      </c>
    </row>
    <row r="244" spans="3:9" x14ac:dyDescent="0.25">
      <c r="C244" s="10" t="s">
        <v>5</v>
      </c>
      <c r="D244" s="10" t="s">
        <v>0</v>
      </c>
      <c r="E244" s="10" t="s">
        <v>1</v>
      </c>
      <c r="F244" s="10" t="s">
        <v>3</v>
      </c>
      <c r="G244" s="11">
        <v>3</v>
      </c>
      <c r="H244" s="12">
        <v>35.83</v>
      </c>
      <c r="I244" s="12">
        <v>4.67</v>
      </c>
    </row>
    <row r="245" spans="3:9" x14ac:dyDescent="0.25">
      <c r="C245" s="10" t="s">
        <v>5</v>
      </c>
      <c r="D245" s="10" t="s">
        <v>4</v>
      </c>
      <c r="E245" s="10" t="s">
        <v>1</v>
      </c>
      <c r="F245" s="10" t="s">
        <v>3</v>
      </c>
      <c r="G245" s="11">
        <v>3</v>
      </c>
      <c r="H245" s="12">
        <v>29.03</v>
      </c>
      <c r="I245" s="12">
        <v>5.92</v>
      </c>
    </row>
    <row r="246" spans="3:9" x14ac:dyDescent="0.25">
      <c r="C246" s="10" t="s">
        <v>5</v>
      </c>
      <c r="D246" s="10" t="s">
        <v>0</v>
      </c>
      <c r="E246" s="10" t="s">
        <v>6</v>
      </c>
      <c r="F246" s="10" t="s">
        <v>3</v>
      </c>
      <c r="G246" s="11">
        <v>2</v>
      </c>
      <c r="H246" s="12">
        <v>27.18</v>
      </c>
      <c r="I246" s="12">
        <v>2</v>
      </c>
    </row>
    <row r="247" spans="3:9" x14ac:dyDescent="0.25">
      <c r="C247" s="10" t="s">
        <v>5</v>
      </c>
      <c r="D247" s="10" t="s">
        <v>4</v>
      </c>
      <c r="E247" s="10" t="s">
        <v>6</v>
      </c>
      <c r="F247" s="10" t="s">
        <v>3</v>
      </c>
      <c r="G247" s="11">
        <v>2</v>
      </c>
      <c r="H247" s="12">
        <v>22.67</v>
      </c>
      <c r="I247" s="12">
        <v>2</v>
      </c>
    </row>
    <row r="248" spans="3:9" x14ac:dyDescent="0.25">
      <c r="C248" s="10" t="s">
        <v>5</v>
      </c>
      <c r="D248" s="10" t="s">
        <v>4</v>
      </c>
      <c r="E248" s="10" t="s">
        <v>1</v>
      </c>
      <c r="F248" s="10" t="s">
        <v>3</v>
      </c>
      <c r="G248" s="11">
        <v>2</v>
      </c>
      <c r="H248" s="12">
        <v>17.82</v>
      </c>
      <c r="I248" s="12">
        <v>1.75</v>
      </c>
    </row>
    <row r="249" spans="3:9" x14ac:dyDescent="0.25">
      <c r="C249" s="10" t="s">
        <v>17</v>
      </c>
      <c r="D249" s="10" t="s">
        <v>0</v>
      </c>
      <c r="E249" s="10" t="s">
        <v>1</v>
      </c>
      <c r="F249" s="10" t="s">
        <v>3</v>
      </c>
      <c r="G249" s="11">
        <v>2</v>
      </c>
      <c r="H249" s="12">
        <v>18.78</v>
      </c>
      <c r="I249" s="12">
        <v>3</v>
      </c>
    </row>
  </sheetData>
  <dataValidations count="5">
    <dataValidation type="list" allowBlank="1" showInputMessage="1" showErrorMessage="1" error="Incorrect day, please write it as ddd (e.g Mon for Monday)" promptTitle="Enter the correct day" prompt="DDD" sqref="G250:G1048576 C6:C249" xr:uid="{C7588D26-3821-4013-8B23-67A939145F32}">
      <formula1>"Mon, Tue, Wed, Thu, Fri, Sat, Sun"</formula1>
    </dataValidation>
    <dataValidation type="list" allowBlank="1" showInputMessage="1" showErrorMessage="1" error="Incorrect Time: Please re-enter the time" promptTitle="Time" prompt="Is it Breakfast, Lunch or Dinner" sqref="H250:H1048576 F6:F249" xr:uid="{E47E5DDD-2037-4B84-8065-5DF2C2E9BE69}">
      <formula1>"Breakfast, Lunch, Dinner"</formula1>
    </dataValidation>
    <dataValidation type="list" allowBlank="1" showInputMessage="1" showErrorMessage="1" error="Wrong gender, it should either be Male or Female" promptTitle="Gender" prompt="Is it Male or Female" sqref="E250:E1048576 D6:D249" xr:uid="{5CD4E8F5-FD57-4EB1-9C6F-8CC61F96F786}">
      <formula1>"Male, Female"</formula1>
    </dataValidation>
    <dataValidation type="list" allowBlank="1" showInputMessage="1" showErrorMessage="1" error="Wrong Input, either Yes or No " prompt="Are you a smoker? Yes Or No" sqref="F250:F1048576" xr:uid="{EF3EF877-6666-48D3-AB61-436C7DBED27D}">
      <formula1>"Yes, No"</formula1>
    </dataValidation>
    <dataValidation type="list" allowBlank="1" showInputMessage="1" showErrorMessage="1" error="Wrong Input, either Yes or No " promptTitle="Are you a smoker?" prompt="Yes Or No" sqref="E6:E249" xr:uid="{17AD3BD8-47D8-4D68-AC3D-0D365A081418}">
      <formula1>"Yes, No"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6B65-F468-4A78-938C-B0971EFF1A3A}">
  <dimension ref="C1:J38"/>
  <sheetViews>
    <sheetView showGridLines="0" tabSelected="1" topLeftCell="A6" zoomScale="96" zoomScaleNormal="96" workbookViewId="0">
      <selection activeCell="J33" sqref="J33"/>
    </sheetView>
  </sheetViews>
  <sheetFormatPr defaultRowHeight="15" x14ac:dyDescent="0.25"/>
  <cols>
    <col min="1" max="1" width="2.7109375" customWidth="1"/>
    <col min="2" max="2" width="3.140625" customWidth="1"/>
    <col min="3" max="3" width="14.42578125" bestFit="1" customWidth="1"/>
    <col min="4" max="4" width="16.42578125" bestFit="1" customWidth="1"/>
    <col min="5" max="5" width="5.140625" customWidth="1"/>
    <col min="6" max="6" width="5" customWidth="1"/>
    <col min="7" max="7" width="14.42578125" bestFit="1" customWidth="1"/>
    <col min="8" max="8" width="19.5703125" bestFit="1" customWidth="1"/>
    <col min="9" max="9" width="16" bestFit="1" customWidth="1"/>
    <col min="10" max="10" width="20.5703125" bestFit="1" customWidth="1"/>
    <col min="11" max="11" width="10" bestFit="1" customWidth="1"/>
    <col min="12" max="12" width="16" bestFit="1" customWidth="1"/>
    <col min="13" max="13" width="10.28515625" bestFit="1" customWidth="1"/>
    <col min="14" max="14" width="20.5703125" bestFit="1" customWidth="1"/>
  </cols>
  <sheetData>
    <row r="1" spans="3:9" s="6" customFormat="1" x14ac:dyDescent="0.25">
      <c r="C1" s="4"/>
      <c r="D1" s="5"/>
      <c r="I1" s="7"/>
    </row>
    <row r="2" spans="3:9" s="6" customFormat="1" ht="27" customHeight="1" x14ac:dyDescent="0.25">
      <c r="C2" s="4"/>
      <c r="D2" s="5"/>
      <c r="I2" s="7"/>
    </row>
    <row r="3" spans="3:9" s="6" customFormat="1" x14ac:dyDescent="0.25">
      <c r="C3" s="4"/>
      <c r="D3" s="5"/>
      <c r="I3" s="7"/>
    </row>
    <row r="31" spans="3:10" x14ac:dyDescent="0.25">
      <c r="C31" s="16" t="s">
        <v>14</v>
      </c>
      <c r="D31" s="8" t="s">
        <v>18</v>
      </c>
      <c r="G31" s="16" t="s">
        <v>16</v>
      </c>
      <c r="H31" s="8" t="s">
        <v>18</v>
      </c>
      <c r="I31" s="8" t="s">
        <v>19</v>
      </c>
      <c r="J31" t="s">
        <v>22</v>
      </c>
    </row>
    <row r="32" spans="3:10" x14ac:dyDescent="0.25">
      <c r="C32" s="18" t="s">
        <v>17</v>
      </c>
      <c r="D32" s="9">
        <v>1096.3299999999997</v>
      </c>
      <c r="G32" s="17">
        <v>1</v>
      </c>
      <c r="H32" s="9">
        <v>28.97</v>
      </c>
      <c r="I32" s="9">
        <v>5.75</v>
      </c>
      <c r="J32" s="9">
        <v>7.2424999999999997</v>
      </c>
    </row>
    <row r="33" spans="3:10" x14ac:dyDescent="0.25">
      <c r="C33" s="18" t="s">
        <v>8</v>
      </c>
      <c r="D33" s="9">
        <v>325.87999999999994</v>
      </c>
      <c r="G33" s="17">
        <v>6</v>
      </c>
      <c r="H33" s="9">
        <v>139.32</v>
      </c>
      <c r="I33" s="9">
        <v>20.9</v>
      </c>
      <c r="J33" s="9">
        <v>34.83</v>
      </c>
    </row>
    <row r="34" spans="3:10" x14ac:dyDescent="0.25">
      <c r="C34" s="18" t="s">
        <v>5</v>
      </c>
      <c r="D34" s="9">
        <v>1778.3999999999996</v>
      </c>
      <c r="G34" s="17">
        <v>5</v>
      </c>
      <c r="H34" s="9">
        <v>150.34</v>
      </c>
      <c r="I34" s="9">
        <v>20.14</v>
      </c>
      <c r="J34" s="9">
        <v>30.068000000000001</v>
      </c>
    </row>
    <row r="35" spans="3:10" x14ac:dyDescent="0.25">
      <c r="C35" s="18" t="s">
        <v>2</v>
      </c>
      <c r="D35" s="9">
        <v>1627.1600000000003</v>
      </c>
      <c r="G35" s="17">
        <v>3</v>
      </c>
      <c r="H35" s="9">
        <v>884.55000000000007</v>
      </c>
      <c r="I35" s="9">
        <v>128.94</v>
      </c>
      <c r="J35" s="9">
        <v>23.277631578947371</v>
      </c>
    </row>
    <row r="36" spans="3:10" x14ac:dyDescent="0.25">
      <c r="C36" s="18" t="s">
        <v>9</v>
      </c>
      <c r="D36" s="9">
        <v>4827.7699999999995</v>
      </c>
      <c r="G36" s="17">
        <v>4</v>
      </c>
      <c r="H36" s="9">
        <v>1058.6999999999998</v>
      </c>
      <c r="I36" s="9">
        <v>153.01000000000005</v>
      </c>
      <c r="J36" s="9">
        <v>28.61351351351351</v>
      </c>
    </row>
    <row r="37" spans="3:10" x14ac:dyDescent="0.25">
      <c r="G37" s="17">
        <v>2</v>
      </c>
      <c r="H37" s="9">
        <v>2565.8900000000017</v>
      </c>
      <c r="I37" s="9">
        <v>402.84000000000015</v>
      </c>
      <c r="J37" s="9">
        <v>16.448012820512833</v>
      </c>
    </row>
    <row r="38" spans="3:10" x14ac:dyDescent="0.25">
      <c r="G38" s="17" t="s">
        <v>9</v>
      </c>
      <c r="H38" s="9">
        <v>4827.7700000000023</v>
      </c>
      <c r="I38" s="9">
        <v>731.58000000000038</v>
      </c>
      <c r="J38" s="9">
        <v>19.785942622950827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929B-8511-4729-AC15-566CE4EC9479}">
  <dimension ref="C4:D6"/>
  <sheetViews>
    <sheetView showGridLines="0" workbookViewId="0">
      <selection activeCell="D6" sqref="D6"/>
    </sheetView>
  </sheetViews>
  <sheetFormatPr defaultRowHeight="15" x14ac:dyDescent="0.25"/>
  <cols>
    <col min="1" max="1" width="2.85546875" customWidth="1"/>
    <col min="2" max="2" width="2.140625" customWidth="1"/>
    <col min="3" max="3" width="14.42578125" bestFit="1" customWidth="1"/>
  </cols>
  <sheetData>
    <row r="4" spans="3:4" x14ac:dyDescent="0.25">
      <c r="C4" t="s">
        <v>20</v>
      </c>
      <c r="D4" s="1">
        <f>GETPIVOTDATA("Sum of Total_bill",'CSA Dashboard'!$G$31)</f>
        <v>4827.7700000000023</v>
      </c>
    </row>
    <row r="5" spans="3:4" x14ac:dyDescent="0.25">
      <c r="C5" t="s">
        <v>21</v>
      </c>
      <c r="D5" s="19">
        <f>GETPIVOTDATA("Average of Total_bill2",'CSA Dashboard'!$G$31)</f>
        <v>19.785942622950827</v>
      </c>
    </row>
    <row r="6" spans="3:4" x14ac:dyDescent="0.25">
      <c r="C6" t="s">
        <v>23</v>
      </c>
      <c r="D6" s="1">
        <f>GETPIVOTDATA("Sum of Tip",'CSA Dashboard'!$G$31)</f>
        <v>731.58000000000038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0C19BD-CC9C-465E-B574-EC34B44C77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Sales</vt:lpstr>
      <vt:lpstr>CSA Dashboard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</dc:creator>
  <cp:lastModifiedBy>Pule, Glen, (Mr) (s225840596)</cp:lastModifiedBy>
  <dcterms:created xsi:type="dcterms:W3CDTF">2015-06-05T18:17:20Z</dcterms:created>
  <dcterms:modified xsi:type="dcterms:W3CDTF">2026-05-31T16:21:42Z</dcterms:modified>
</cp:coreProperties>
</file>